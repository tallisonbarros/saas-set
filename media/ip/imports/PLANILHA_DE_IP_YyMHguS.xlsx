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4a14af75f3361d/Documentos/SET/Clientes/2K26/Milhao/Documentos/Lista de IO/"/>
    </mc:Choice>
  </mc:AlternateContent>
  <xr:revisionPtr revIDLastSave="19" documentId="13_ncr:1_{7BEB3424-2063-4EE7-9571-750A1390EE24}" xr6:coauthVersionLast="47" xr6:coauthVersionMax="47" xr10:uidLastSave="{50CC1079-A151-45EA-98AE-03E8F814E943}"/>
  <bookViews>
    <workbookView xWindow="-40650" yWindow="5535" windowWidth="19200" windowHeight="11175" tabRatio="827" activeTab="1" xr2:uid="{00000000-000D-0000-FFFF-FFFF00000000}"/>
  </bookViews>
  <sheets>
    <sheet name="TÍTULO" sheetId="35" r:id="rId1"/>
    <sheet name="DEVICES" sheetId="34" r:id="rId2"/>
  </sheets>
  <definedNames>
    <definedName name="_xlnm.Print_Area" localSheetId="1">DEVICES!$A$1:$K$261</definedName>
    <definedName name="_xlnm.Print_Area" localSheetId="0">TÍTULO!$A:$C</definedName>
    <definedName name="_xlnm.Print_Titles" localSheetId="1">DEVICES!$1:$3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34" l="1"/>
  <c r="F3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A21" i="35"/>
  <c r="F52" i="34" l="1"/>
  <c r="F190" i="34"/>
  <c r="F191" i="34"/>
  <c r="F192" i="34"/>
  <c r="F193" i="34"/>
  <c r="F194" i="34"/>
  <c r="F18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55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7" i="34"/>
  <c r="F88" i="34"/>
  <c r="F89" i="34"/>
  <c r="F90" i="34"/>
  <c r="F91" i="34"/>
  <c r="F92" i="34"/>
  <c r="F93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F109" i="34"/>
  <c r="F110" i="34"/>
  <c r="F111" i="34"/>
  <c r="F112" i="34"/>
  <c r="F113" i="34"/>
  <c r="F114" i="34"/>
  <c r="F115" i="34"/>
  <c r="F116" i="34"/>
  <c r="F117" i="34"/>
  <c r="F118" i="34"/>
  <c r="F119" i="34"/>
  <c r="F120" i="34"/>
  <c r="F121" i="34"/>
  <c r="F122" i="34"/>
  <c r="F123" i="34"/>
  <c r="F124" i="34"/>
  <c r="F125" i="34"/>
  <c r="F126" i="34"/>
  <c r="F127" i="34"/>
  <c r="F128" i="34"/>
  <c r="F129" i="34"/>
  <c r="F130" i="34"/>
  <c r="F131" i="34"/>
  <c r="F132" i="34"/>
  <c r="F133" i="34"/>
  <c r="F134" i="34"/>
  <c r="F135" i="34"/>
  <c r="F136" i="34"/>
  <c r="F137" i="34"/>
  <c r="F138" i="34"/>
  <c r="F139" i="34"/>
  <c r="F140" i="34"/>
  <c r="F141" i="34"/>
  <c r="F142" i="34"/>
  <c r="F143" i="34"/>
  <c r="F144" i="34"/>
  <c r="F145" i="34"/>
  <c r="F146" i="34"/>
  <c r="F147" i="34"/>
  <c r="F148" i="34"/>
  <c r="F149" i="34"/>
  <c r="F150" i="34"/>
  <c r="F151" i="34"/>
  <c r="F152" i="34"/>
  <c r="F153" i="34"/>
  <c r="F154" i="34"/>
  <c r="F155" i="34"/>
  <c r="F156" i="34"/>
  <c r="F157" i="34"/>
  <c r="F158" i="34"/>
  <c r="F159" i="34"/>
  <c r="F160" i="34"/>
  <c r="F161" i="34"/>
  <c r="F162" i="34"/>
  <c r="F163" i="34"/>
  <c r="F164" i="34"/>
  <c r="F165" i="34"/>
  <c r="F166" i="34"/>
  <c r="F167" i="34"/>
  <c r="F168" i="34"/>
  <c r="F169" i="34"/>
  <c r="F170" i="34"/>
  <c r="F171" i="34"/>
  <c r="F172" i="34"/>
  <c r="F173" i="34"/>
  <c r="F174" i="34"/>
  <c r="F175" i="34"/>
  <c r="F176" i="34"/>
  <c r="F177" i="34"/>
  <c r="F178" i="34"/>
  <c r="F179" i="34"/>
  <c r="F180" i="34"/>
  <c r="F181" i="34"/>
  <c r="F182" i="34"/>
  <c r="F183" i="34"/>
  <c r="F184" i="34"/>
  <c r="F195" i="34"/>
  <c r="F196" i="34"/>
  <c r="F197" i="34"/>
  <c r="F198" i="34"/>
  <c r="F199" i="34"/>
  <c r="F200" i="34"/>
  <c r="F201" i="34"/>
  <c r="F202" i="34"/>
  <c r="F203" i="34"/>
  <c r="F204" i="34"/>
  <c r="F205" i="34"/>
  <c r="F206" i="34"/>
  <c r="F207" i="34"/>
  <c r="F208" i="34"/>
  <c r="F209" i="34"/>
  <c r="F210" i="34"/>
  <c r="F211" i="34"/>
  <c r="F212" i="34"/>
  <c r="F213" i="34"/>
  <c r="F214" i="34"/>
  <c r="F215" i="34"/>
  <c r="F216" i="34"/>
  <c r="F217" i="34"/>
  <c r="F218" i="34"/>
  <c r="F219" i="34"/>
  <c r="F220" i="34"/>
  <c r="F221" i="34"/>
  <c r="F222" i="34"/>
  <c r="F223" i="34"/>
  <c r="F224" i="34"/>
  <c r="F225" i="34"/>
  <c r="F226" i="34"/>
  <c r="F227" i="34"/>
  <c r="F228" i="34"/>
  <c r="F229" i="34"/>
  <c r="F230" i="34"/>
  <c r="F231" i="34"/>
  <c r="F232" i="34"/>
  <c r="F233" i="34"/>
  <c r="F234" i="34"/>
  <c r="F235" i="34"/>
  <c r="F236" i="34"/>
  <c r="F237" i="34"/>
  <c r="F238" i="34"/>
  <c r="F239" i="34"/>
  <c r="F244" i="34"/>
  <c r="F245" i="34"/>
  <c r="F247" i="34"/>
  <c r="F248" i="34"/>
  <c r="F249" i="34"/>
  <c r="F250" i="34"/>
  <c r="F251" i="34"/>
  <c r="F252" i="34"/>
  <c r="F253" i="34"/>
  <c r="F254" i="34"/>
  <c r="F255" i="34"/>
  <c r="F256" i="34"/>
  <c r="F257" i="34"/>
  <c r="F258" i="34"/>
  <c r="F259" i="34"/>
  <c r="F260" i="34"/>
  <c r="F186" i="34"/>
  <c r="F187" i="34"/>
  <c r="F188" i="34"/>
  <c r="F189" i="34"/>
  <c r="F49" i="34"/>
  <c r="F53" i="34"/>
  <c r="F54" i="34"/>
  <c r="F50" i="34"/>
  <c r="F51" i="34"/>
  <c r="F85" i="34"/>
  <c r="F86" i="34"/>
  <c r="F243" i="34"/>
  <c r="F240" i="34"/>
  <c r="F242" i="34"/>
  <c r="F246" i="34"/>
  <c r="F241" i="34"/>
  <c r="F261" i="34"/>
  <c r="F262" i="34"/>
  <c r="F263" i="34"/>
  <c r="F264" i="34"/>
  <c r="F265" i="34"/>
  <c r="F266" i="34"/>
  <c r="F267" i="34"/>
  <c r="F268" i="34"/>
  <c r="F269" i="34"/>
  <c r="F270" i="34"/>
  <c r="F271" i="34"/>
  <c r="F272" i="34"/>
  <c r="F273" i="34"/>
  <c r="F274" i="34"/>
  <c r="F275" i="34"/>
  <c r="F276" i="34"/>
  <c r="F277" i="34"/>
  <c r="F278" i="34"/>
  <c r="F279" i="34"/>
  <c r="F280" i="34"/>
  <c r="F281" i="34"/>
  <c r="F282" i="34"/>
  <c r="F283" i="34"/>
  <c r="F284" i="34"/>
  <c r="F285" i="34"/>
  <c r="F286" i="34"/>
  <c r="F287" i="34"/>
  <c r="F288" i="34"/>
  <c r="F289" i="34"/>
  <c r="F290" i="34"/>
  <c r="F291" i="34"/>
  <c r="F292" i="34"/>
  <c r="F293" i="34"/>
  <c r="F294" i="34"/>
  <c r="F295" i="34"/>
  <c r="F296" i="34"/>
  <c r="F297" i="34"/>
  <c r="F298" i="34"/>
  <c r="F299" i="34"/>
  <c r="F300" i="34"/>
  <c r="F301" i="34"/>
  <c r="F302" i="34"/>
  <c r="F303" i="34"/>
  <c r="F304" i="34"/>
  <c r="F305" i="34"/>
  <c r="F306" i="34"/>
  <c r="F307" i="34"/>
  <c r="F308" i="34"/>
  <c r="F309" i="34"/>
  <c r="F310" i="34"/>
  <c r="F311" i="34"/>
  <c r="F312" i="34"/>
  <c r="F313" i="34"/>
  <c r="F314" i="34"/>
  <c r="F315" i="34"/>
  <c r="F316" i="34"/>
  <c r="F317" i="34"/>
  <c r="F318" i="34"/>
  <c r="F319" i="34"/>
  <c r="F320" i="34"/>
  <c r="F321" i="34"/>
  <c r="F322" i="34"/>
  <c r="F323" i="34"/>
  <c r="F324" i="34"/>
  <c r="F325" i="34"/>
  <c r="F326" i="34"/>
  <c r="F327" i="34"/>
  <c r="F328" i="34"/>
  <c r="F329" i="34"/>
  <c r="F330" i="34"/>
  <c r="F331" i="34"/>
  <c r="F332" i="34"/>
  <c r="F333" i="34"/>
  <c r="F334" i="34"/>
  <c r="F335" i="34"/>
  <c r="F336" i="34"/>
  <c r="F337" i="34"/>
  <c r="F338" i="34"/>
  <c r="F339" i="34"/>
  <c r="F340" i="34"/>
  <c r="F341" i="34"/>
  <c r="F342" i="34"/>
  <c r="F343" i="34"/>
  <c r="F344" i="34"/>
  <c r="F345" i="34"/>
  <c r="F346" i="34"/>
  <c r="F347" i="34"/>
  <c r="F348" i="34"/>
  <c r="F349" i="34"/>
  <c r="F350" i="34"/>
  <c r="F351" i="34"/>
  <c r="F352" i="34"/>
  <c r="F353" i="34"/>
  <c r="F354" i="34"/>
  <c r="F355" i="34"/>
  <c r="F356" i="34"/>
  <c r="F357" i="34"/>
  <c r="F358" i="34"/>
  <c r="F359" i="34"/>
  <c r="F360" i="34"/>
  <c r="F361" i="34"/>
  <c r="F362" i="34"/>
  <c r="F363" i="34"/>
</calcChain>
</file>

<file path=xl/sharedStrings.xml><?xml version="1.0" encoding="utf-8"?>
<sst xmlns="http://schemas.openxmlformats.org/spreadsheetml/2006/main" count="1109" uniqueCount="643">
  <si>
    <t/>
  </si>
  <si>
    <t xml:space="preserve">              Milhão Ingredients
             Unidade - Rio Verde</t>
  </si>
  <si>
    <t>DEVICES</t>
  </si>
  <si>
    <t>192.100.3.129</t>
  </si>
  <si>
    <t>192.100.3.215</t>
  </si>
  <si>
    <t>192.100.3.216</t>
  </si>
  <si>
    <t>192.100.3.131</t>
  </si>
  <si>
    <t>192.100.3.132</t>
  </si>
  <si>
    <t>192.100.3.133</t>
  </si>
  <si>
    <t>192.100.3.101</t>
  </si>
  <si>
    <t>192.100.3.102</t>
  </si>
  <si>
    <t>192.100.3.103</t>
  </si>
  <si>
    <t>192.100.3.104</t>
  </si>
  <si>
    <t>192.100.3.105</t>
  </si>
  <si>
    <t>192.100.3.106</t>
  </si>
  <si>
    <t>192.100.3.112</t>
  </si>
  <si>
    <t>192.100.3.153</t>
  </si>
  <si>
    <t>192.100.3.154</t>
  </si>
  <si>
    <t>192.100.3.79</t>
  </si>
  <si>
    <t>192.100.3.78</t>
  </si>
  <si>
    <t>192.100.3.69</t>
  </si>
  <si>
    <t>192.100.3.70</t>
  </si>
  <si>
    <t>192.100.3.128</t>
  </si>
  <si>
    <t>192.100.3.204</t>
  </si>
  <si>
    <t>192.100.3.203</t>
  </si>
  <si>
    <t>192.100.3.21</t>
  </si>
  <si>
    <t>192.100.3.22</t>
  </si>
  <si>
    <t>192.100.3.38</t>
  </si>
  <si>
    <t>192.100.3.32</t>
  </si>
  <si>
    <t>192.100.3.34</t>
  </si>
  <si>
    <t>192.100.3.33</t>
  </si>
  <si>
    <t>192.100.3.214</t>
  </si>
  <si>
    <t>192.100.3.208</t>
  </si>
  <si>
    <t>192.100.3.211</t>
  </si>
  <si>
    <t>192.100.3.207</t>
  </si>
  <si>
    <t>192.100.3.210</t>
  </si>
  <si>
    <t>192.100.3.206</t>
  </si>
  <si>
    <t>192.100.3.209</t>
  </si>
  <si>
    <t>192.100.3.205</t>
  </si>
  <si>
    <t>192.100.3.218</t>
  </si>
  <si>
    <t>192.100.3.217</t>
  </si>
  <si>
    <t>192.100.3.213</t>
  </si>
  <si>
    <t>192.100.3.212</t>
  </si>
  <si>
    <t xml:space="preserve">ESTEL01 </t>
  </si>
  <si>
    <t>LIMRO09</t>
  </si>
  <si>
    <t>LIMRO10</t>
  </si>
  <si>
    <t>DEGDA02</t>
  </si>
  <si>
    <t>DEGDA03</t>
  </si>
  <si>
    <t>DEGDA04</t>
  </si>
  <si>
    <t>DEGCN05</t>
  </si>
  <si>
    <t>DEGCN06</t>
  </si>
  <si>
    <t>DEGCN07</t>
  </si>
  <si>
    <t>DEGCN08</t>
  </si>
  <si>
    <t>DEGCN09</t>
  </si>
  <si>
    <t>DEGCN10</t>
  </si>
  <si>
    <t>DEGVR06</t>
  </si>
  <si>
    <t>SECVT01</t>
  </si>
  <si>
    <t>SECVT02</t>
  </si>
  <si>
    <t>SECRO01</t>
  </si>
  <si>
    <t>SECRO03</t>
  </si>
  <si>
    <t>SECVR26</t>
  </si>
  <si>
    <t>SECVR27</t>
  </si>
  <si>
    <t>CLAEL05</t>
  </si>
  <si>
    <t>MOARO06</t>
  </si>
  <si>
    <t>MOARO07</t>
  </si>
  <si>
    <t>MOABC071</t>
  </si>
  <si>
    <t>MOABC072</t>
  </si>
  <si>
    <t>MOAVR31</t>
  </si>
  <si>
    <t>MOAVT03</t>
  </si>
  <si>
    <t>MOAVT04</t>
  </si>
  <si>
    <t>MOAVT05</t>
  </si>
  <si>
    <t>CLARO01</t>
  </si>
  <si>
    <t>ENSRAD01</t>
  </si>
  <si>
    <t>ENSRAD02</t>
  </si>
  <si>
    <t>ENSRAD03</t>
  </si>
  <si>
    <t>ENSRAD04</t>
  </si>
  <si>
    <t>ENSRAD05</t>
  </si>
  <si>
    <t>ENSRAD06</t>
  </si>
  <si>
    <t>ENSRAD07</t>
  </si>
  <si>
    <t>ENSVR21</t>
  </si>
  <si>
    <t>ENSED01</t>
  </si>
  <si>
    <t>ENSRAD08</t>
  </si>
  <si>
    <t>ENSRAD09</t>
  </si>
  <si>
    <t>EQP</t>
  </si>
  <si>
    <t>IP</t>
  </si>
  <si>
    <t>DRIVE</t>
  </si>
  <si>
    <t>OK</t>
  </si>
  <si>
    <t>STATUS</t>
  </si>
  <si>
    <t>G120</t>
  </si>
  <si>
    <t>ESTRAD01</t>
  </si>
  <si>
    <t>ESTRAD02</t>
  </si>
  <si>
    <t>ESTRAD03</t>
  </si>
  <si>
    <t>ESTRAD04</t>
  </si>
  <si>
    <t>ESTEL02</t>
  </si>
  <si>
    <t>DEGCN01</t>
  </si>
  <si>
    <t>DEGDG01</t>
  </si>
  <si>
    <t>DEGCN02</t>
  </si>
  <si>
    <t>DEGDG02</t>
  </si>
  <si>
    <t>DEGCN03</t>
  </si>
  <si>
    <t>DEGDG03</t>
  </si>
  <si>
    <t>DEGCN04</t>
  </si>
  <si>
    <t>DEGDG04</t>
  </si>
  <si>
    <t>DEGDG05.1</t>
  </si>
  <si>
    <t>DEGDG05.2</t>
  </si>
  <si>
    <t>150SMC</t>
  </si>
  <si>
    <t>POWERFLEX525</t>
  </si>
  <si>
    <t>MAC</t>
  </si>
  <si>
    <t>68-3E-02-10-05-B6</t>
  </si>
  <si>
    <t>68-3E-02-0A-04-DB</t>
  </si>
  <si>
    <t>68-3E-02-10-24-CD</t>
  </si>
  <si>
    <t>68-3E-02-0E-C1-E6</t>
  </si>
  <si>
    <t>192.100.3.71</t>
  </si>
  <si>
    <t>192.100.3.74</t>
  </si>
  <si>
    <t>PLC</t>
  </si>
  <si>
    <t>CONTROL</t>
  </si>
  <si>
    <t>LIMRO11</t>
  </si>
  <si>
    <t>COMPACT</t>
  </si>
  <si>
    <t>192.100.3.96</t>
  </si>
  <si>
    <t>192.100.3.97</t>
  </si>
  <si>
    <t>DEGVR01</t>
  </si>
  <si>
    <t>192.100.3.107</t>
  </si>
  <si>
    <t>DEGVR02</t>
  </si>
  <si>
    <t>192.100.3.108</t>
  </si>
  <si>
    <t>DEGVR03</t>
  </si>
  <si>
    <t>192.100.3.109</t>
  </si>
  <si>
    <t>DEGVR04</t>
  </si>
  <si>
    <t>192.100.3.110</t>
  </si>
  <si>
    <t>DEGVR05</t>
  </si>
  <si>
    <t>192.100.3.111</t>
  </si>
  <si>
    <t>192.100.3.20</t>
  </si>
  <si>
    <t>MOAMM012</t>
  </si>
  <si>
    <t>MOAMM022</t>
  </si>
  <si>
    <t>192.100.3.19</t>
  </si>
  <si>
    <t>MOAMM023</t>
  </si>
  <si>
    <t>MOABC021</t>
  </si>
  <si>
    <t>192.100.3.75</t>
  </si>
  <si>
    <t>192.100.3.3</t>
  </si>
  <si>
    <t>MOABC022</t>
  </si>
  <si>
    <t>192.100.3.4</t>
  </si>
  <si>
    <t>MOABC011</t>
  </si>
  <si>
    <t>192.100.3.5</t>
  </si>
  <si>
    <t>MOABC012</t>
  </si>
  <si>
    <t>192.100.3.6</t>
  </si>
  <si>
    <t>MOAMM033</t>
  </si>
  <si>
    <t>MOAMM044</t>
  </si>
  <si>
    <t>MOAMM032</t>
  </si>
  <si>
    <t>192.100.3.18</t>
  </si>
  <si>
    <t>MOAMM042</t>
  </si>
  <si>
    <t>192.100.3.16</t>
  </si>
  <si>
    <t>MOAMM052</t>
  </si>
  <si>
    <t>192.100.3.17</t>
  </si>
  <si>
    <t>GRAVR02</t>
  </si>
  <si>
    <t>192.100.3.98</t>
  </si>
  <si>
    <t>GRAVR03</t>
  </si>
  <si>
    <t>192.100.3.100</t>
  </si>
  <si>
    <t>GRAVR01</t>
  </si>
  <si>
    <t>192.100.3.11</t>
  </si>
  <si>
    <t>192.100.3.12</t>
  </si>
  <si>
    <t>192.100.3.13</t>
  </si>
  <si>
    <t>192.100.3.14</t>
  </si>
  <si>
    <t>DEGDG06.2</t>
  </si>
  <si>
    <t>DEGDG07.2</t>
  </si>
  <si>
    <t>DEGDG08.2</t>
  </si>
  <si>
    <t>DEGDG09.2</t>
  </si>
  <si>
    <t>DEGDG10.2</t>
  </si>
  <si>
    <t>SECVT18</t>
  </si>
  <si>
    <t>MOAMM02.1</t>
  </si>
  <si>
    <t>MOAEL01</t>
  </si>
  <si>
    <t>MOAEL03</t>
  </si>
  <si>
    <t>MOAMM03.1</t>
  </si>
  <si>
    <t>MOAMM04.1</t>
  </si>
  <si>
    <t>MOAMM05.1</t>
  </si>
  <si>
    <t>DEGDG06.1</t>
  </si>
  <si>
    <t>DEGDG07.1</t>
  </si>
  <si>
    <t>DEGDG08.1</t>
  </si>
  <si>
    <t>DEGDG09.1</t>
  </si>
  <si>
    <t>DEGDG10.1</t>
  </si>
  <si>
    <t>SECVT03</t>
  </si>
  <si>
    <t>SECVT04</t>
  </si>
  <si>
    <t>SECVT05</t>
  </si>
  <si>
    <t>SECVT06</t>
  </si>
  <si>
    <t>SECVT07</t>
  </si>
  <si>
    <t>SECVT08</t>
  </si>
  <si>
    <t>SECVT09</t>
  </si>
  <si>
    <t>SECVT10</t>
  </si>
  <si>
    <t>SECVT11</t>
  </si>
  <si>
    <t>SECVT12</t>
  </si>
  <si>
    <t>SECVT17</t>
  </si>
  <si>
    <t>192.100.3.1</t>
  </si>
  <si>
    <t>MILHÃO_MASTER</t>
  </si>
  <si>
    <t>192.100.3.2</t>
  </si>
  <si>
    <t>REMCCM1</t>
  </si>
  <si>
    <t>192.100.3.37</t>
  </si>
  <si>
    <t>M43VR43</t>
  </si>
  <si>
    <t>192.100.3.39</t>
  </si>
  <si>
    <t>M26RE22</t>
  </si>
  <si>
    <t>192.100.3.40</t>
  </si>
  <si>
    <t>M33RN2</t>
  </si>
  <si>
    <t>192.100.3.41</t>
  </si>
  <si>
    <t>M33RN3</t>
  </si>
  <si>
    <t>192.100.3.42</t>
  </si>
  <si>
    <t>192.100.3.43</t>
  </si>
  <si>
    <t>M33VR10</t>
  </si>
  <si>
    <t>192.100.3.58</t>
  </si>
  <si>
    <t>192.100.3.59</t>
  </si>
  <si>
    <t>192.100.3.60</t>
  </si>
  <si>
    <t>192.100.3.61</t>
  </si>
  <si>
    <t>192.100.3.62</t>
  </si>
  <si>
    <t>192.100.3.63</t>
  </si>
  <si>
    <t>192.100.3.64</t>
  </si>
  <si>
    <t>192.100.3.65</t>
  </si>
  <si>
    <t>192.100.3.66</t>
  </si>
  <si>
    <t>192.100.3.67</t>
  </si>
  <si>
    <t>192.100.3.68</t>
  </si>
  <si>
    <t>192.100.3.86</t>
  </si>
  <si>
    <t>REMCCM4</t>
  </si>
  <si>
    <t>192.100.3.119</t>
  </si>
  <si>
    <t>AENTR</t>
  </si>
  <si>
    <t>192.100.3.120</t>
  </si>
  <si>
    <t>AENT1</t>
  </si>
  <si>
    <t>192.100.3.121</t>
  </si>
  <si>
    <t>AENT2</t>
  </si>
  <si>
    <t>192.100.3.122</t>
  </si>
  <si>
    <t>REMOTA1_CCM</t>
  </si>
  <si>
    <t>192.100.3.123</t>
  </si>
  <si>
    <t>192.100.3.124</t>
  </si>
  <si>
    <t>192.100.3.125</t>
  </si>
  <si>
    <t>192.100.3.126</t>
  </si>
  <si>
    <t>192.100.3.127</t>
  </si>
  <si>
    <t>192.100.3.130</t>
  </si>
  <si>
    <t>192.100.3.134</t>
  </si>
  <si>
    <t>192.100.3.135</t>
  </si>
  <si>
    <t>192.100.3.136</t>
  </si>
  <si>
    <t>192.100.3.137</t>
  </si>
  <si>
    <t>192.100.3.138</t>
  </si>
  <si>
    <t>192.100.3.139</t>
  </si>
  <si>
    <t>192.100.3.140</t>
  </si>
  <si>
    <t>192.100.3.141</t>
  </si>
  <si>
    <t>192.100.3.142</t>
  </si>
  <si>
    <t>192.100.3.143</t>
  </si>
  <si>
    <t>192.100.3.144</t>
  </si>
  <si>
    <t>192.100.3.145</t>
  </si>
  <si>
    <t>192.100.3.146</t>
  </si>
  <si>
    <t>192.100.3.147</t>
  </si>
  <si>
    <t>192.100.3.148</t>
  </si>
  <si>
    <t>192.100.3.149</t>
  </si>
  <si>
    <t>192.100.3.150</t>
  </si>
  <si>
    <t>192.100.3.151</t>
  </si>
  <si>
    <t>192.100.3.152</t>
  </si>
  <si>
    <t>192.100.3.155</t>
  </si>
  <si>
    <t>192.100.3.156</t>
  </si>
  <si>
    <t>192.100.3.157</t>
  </si>
  <si>
    <t>192.100.3.158</t>
  </si>
  <si>
    <t>192.100.3.159</t>
  </si>
  <si>
    <t>192.100.3.160</t>
  </si>
  <si>
    <t>192.100.3.161</t>
  </si>
  <si>
    <t>192.100.3.162</t>
  </si>
  <si>
    <t>192.100.3.163</t>
  </si>
  <si>
    <t>192.100.3.164</t>
  </si>
  <si>
    <t>192.100.3.165</t>
  </si>
  <si>
    <t>192.100.3.166</t>
  </si>
  <si>
    <t>192.100.3.167</t>
  </si>
  <si>
    <t>192.100.3.168</t>
  </si>
  <si>
    <t>192.100.3.169</t>
  </si>
  <si>
    <t>192.100.3.170</t>
  </si>
  <si>
    <t>192.100.3.171</t>
  </si>
  <si>
    <t>192.100.3.172</t>
  </si>
  <si>
    <t>192.100.3.173</t>
  </si>
  <si>
    <t>192.100.3.174</t>
  </si>
  <si>
    <t>192.100.3.175</t>
  </si>
  <si>
    <t>192.100.3.176</t>
  </si>
  <si>
    <t>192.100.3.177</t>
  </si>
  <si>
    <t>192.100.3.178</t>
  </si>
  <si>
    <t>192.100.3.179</t>
  </si>
  <si>
    <t>192.100.3.180</t>
  </si>
  <si>
    <t>192.100.3.181</t>
  </si>
  <si>
    <t>192.100.3.182</t>
  </si>
  <si>
    <t>192.100.3.183</t>
  </si>
  <si>
    <t>192.100.3.184</t>
  </si>
  <si>
    <t>192.100.3.185</t>
  </si>
  <si>
    <t>192.100.3.186</t>
  </si>
  <si>
    <t>192.100.3.187</t>
  </si>
  <si>
    <t>192.100.3.188</t>
  </si>
  <si>
    <t>192.100.3.189</t>
  </si>
  <si>
    <t>192.100.3.190</t>
  </si>
  <si>
    <t>192.100.3.191</t>
  </si>
  <si>
    <t>192.100.3.192</t>
  </si>
  <si>
    <t>192.100.3.193</t>
  </si>
  <si>
    <t>192.100.3.194</t>
  </si>
  <si>
    <t>192.100.3.195</t>
  </si>
  <si>
    <t>192.100.3.196</t>
  </si>
  <si>
    <t>192.100.3.197</t>
  </si>
  <si>
    <t>192.100.3.198</t>
  </si>
  <si>
    <t>192.100.3.199</t>
  </si>
  <si>
    <t>192.100.3.200</t>
  </si>
  <si>
    <t>192.100.3.201</t>
  </si>
  <si>
    <t>192.100.3.202</t>
  </si>
  <si>
    <t>192.100.3.219</t>
  </si>
  <si>
    <t>192.100.3.220</t>
  </si>
  <si>
    <t>192.100.3.221</t>
  </si>
  <si>
    <t>192.100.3.222</t>
  </si>
  <si>
    <t>192.100.3.223</t>
  </si>
  <si>
    <t>192.100.3.224</t>
  </si>
  <si>
    <t>192.100.3.225</t>
  </si>
  <si>
    <t>192.100.3.226</t>
  </si>
  <si>
    <t>192.100.3.227</t>
  </si>
  <si>
    <t>192.100.3.228</t>
  </si>
  <si>
    <t>192.100.3.229</t>
  </si>
  <si>
    <t>192.100.3.230</t>
  </si>
  <si>
    <t>192.100.3.231</t>
  </si>
  <si>
    <t>192.100.3.232</t>
  </si>
  <si>
    <t>192.100.3.233</t>
  </si>
  <si>
    <t>192.100.3.234</t>
  </si>
  <si>
    <t>192.100.3.235</t>
  </si>
  <si>
    <t>192.100.3.236</t>
  </si>
  <si>
    <t>192.100.3.237</t>
  </si>
  <si>
    <t>192.100.3.238</t>
  </si>
  <si>
    <t>192.100.3.239</t>
  </si>
  <si>
    <t>192.100.3.240</t>
  </si>
  <si>
    <t>192.100.3.241</t>
  </si>
  <si>
    <t>192.100.3.242</t>
  </si>
  <si>
    <t>192.100.3.243</t>
  </si>
  <si>
    <t>192.100.3.244</t>
  </si>
  <si>
    <t>192.100.3.245</t>
  </si>
  <si>
    <t>192.100.3.246</t>
  </si>
  <si>
    <t>192.100.3.247</t>
  </si>
  <si>
    <t>192.100.3.248</t>
  </si>
  <si>
    <t>192.100.3.249</t>
  </si>
  <si>
    <t>192.100.3.250</t>
  </si>
  <si>
    <t>192.100.3.251</t>
  </si>
  <si>
    <t>192.100.3.252</t>
  </si>
  <si>
    <t>192.100.3.253</t>
  </si>
  <si>
    <t>192.100.3.254</t>
  </si>
  <si>
    <t>192.100.3.255</t>
  </si>
  <si>
    <t>REMOTA2_CCM</t>
  </si>
  <si>
    <t>REMOTA3_CCM</t>
  </si>
  <si>
    <t>TOLFLUX_9700</t>
  </si>
  <si>
    <t>EXAU0113</t>
  </si>
  <si>
    <t>EXAU0112</t>
  </si>
  <si>
    <t>VRDZ1</t>
  </si>
  <si>
    <t>VRDZ2</t>
  </si>
  <si>
    <t>VRDZ3</t>
  </si>
  <si>
    <t>VRDZ4</t>
  </si>
  <si>
    <t>VRDH1</t>
  </si>
  <si>
    <t>U21</t>
  </si>
  <si>
    <t>REMT0001</t>
  </si>
  <si>
    <t>REMT0002</t>
  </si>
  <si>
    <t>REMT0003</t>
  </si>
  <si>
    <t>REMT0004</t>
  </si>
  <si>
    <t>REMT0005</t>
  </si>
  <si>
    <t>EXAU028</t>
  </si>
  <si>
    <t>EXAU029</t>
  </si>
  <si>
    <t>REMT0006</t>
  </si>
  <si>
    <t>EXAU0076_ETP5</t>
  </si>
  <si>
    <t>MMAR0017</t>
  </si>
  <si>
    <t>VROT0145</t>
  </si>
  <si>
    <t>REM1</t>
  </si>
  <si>
    <t>REM2</t>
  </si>
  <si>
    <t>REM3</t>
  </si>
  <si>
    <t>REM4</t>
  </si>
  <si>
    <t>REM5</t>
  </si>
  <si>
    <t>REM6</t>
  </si>
  <si>
    <t>REM7</t>
  </si>
  <si>
    <t>REMCCM5</t>
  </si>
  <si>
    <t>MILHAO_SLAVE</t>
  </si>
  <si>
    <t>192.100.3.7</t>
  </si>
  <si>
    <t>192.100.3.8</t>
  </si>
  <si>
    <t>192.100.3.9</t>
  </si>
  <si>
    <t>192.100.3.10</t>
  </si>
  <si>
    <t>192.100.3.15</t>
  </si>
  <si>
    <t>192.100.3.23</t>
  </si>
  <si>
    <t>192.100.3.24</t>
  </si>
  <si>
    <t>192.100.3.25</t>
  </si>
  <si>
    <t>192.100.3.26</t>
  </si>
  <si>
    <t>192.100.3.27</t>
  </si>
  <si>
    <t>192.100.3.28</t>
  </si>
  <si>
    <t>192.100.3.29</t>
  </si>
  <si>
    <t>192.100.3.30</t>
  </si>
  <si>
    <t>192.100.3.31</t>
  </si>
  <si>
    <t>192.100.3.35</t>
  </si>
  <si>
    <t>192.100.3.36</t>
  </si>
  <si>
    <t>192.100.3.44</t>
  </si>
  <si>
    <t>192.100.3.45</t>
  </si>
  <si>
    <t>192.100.3.46</t>
  </si>
  <si>
    <t>192.100.3.47</t>
  </si>
  <si>
    <t>192.100.3.48</t>
  </si>
  <si>
    <t>192.100.3.49</t>
  </si>
  <si>
    <t>192.100.3.50</t>
  </si>
  <si>
    <t>192.100.3.51</t>
  </si>
  <si>
    <t>192.100.3.52</t>
  </si>
  <si>
    <t>192.100.3.53</t>
  </si>
  <si>
    <t>192.100.3.54</t>
  </si>
  <si>
    <t>192.100.3.55</t>
  </si>
  <si>
    <t>192.100.3.56</t>
  </si>
  <si>
    <t>192.100.3.57</t>
  </si>
  <si>
    <t>192.100.3.72</t>
  </si>
  <si>
    <t>192.100.3.73</t>
  </si>
  <si>
    <t>192.100.3.76</t>
  </si>
  <si>
    <t>192.100.3.77</t>
  </si>
  <si>
    <t>192.100.3.80</t>
  </si>
  <si>
    <t>192.100.3.81</t>
  </si>
  <si>
    <t>192.100.3.82</t>
  </si>
  <si>
    <t>192.100.3.83</t>
  </si>
  <si>
    <t>192.100.3.84</t>
  </si>
  <si>
    <t>192.100.3.85</t>
  </si>
  <si>
    <t>192.100.3.87</t>
  </si>
  <si>
    <t>192.100.3.88</t>
  </si>
  <si>
    <t>192.100.3.89</t>
  </si>
  <si>
    <t>192.100.3.90</t>
  </si>
  <si>
    <t>192.100.3.91</t>
  </si>
  <si>
    <t>192.100.3.92</t>
  </si>
  <si>
    <t>192.100.3.93</t>
  </si>
  <si>
    <t>192.100.3.94</t>
  </si>
  <si>
    <t>192.100.3.95</t>
  </si>
  <si>
    <t>M42AL3B</t>
  </si>
  <si>
    <t>M42AL4A</t>
  </si>
  <si>
    <t>M42AL4B</t>
  </si>
  <si>
    <t>M42AL11A</t>
  </si>
  <si>
    <t>M42AL11B</t>
  </si>
  <si>
    <t>M45RE2</t>
  </si>
  <si>
    <t>M45RE3</t>
  </si>
  <si>
    <t>M44RE6</t>
  </si>
  <si>
    <t>M44RE7</t>
  </si>
  <si>
    <t>192.100.3.99</t>
  </si>
  <si>
    <t>192.100.3.113</t>
  </si>
  <si>
    <t>192.100.3.114</t>
  </si>
  <si>
    <t>192.100.3.115</t>
  </si>
  <si>
    <t>M40VR26</t>
  </si>
  <si>
    <t>REMCCM2</t>
  </si>
  <si>
    <t>192.100.3.116</t>
  </si>
  <si>
    <t>192.100.3.117</t>
  </si>
  <si>
    <t>192.100.3.118</t>
  </si>
  <si>
    <t>AENT</t>
  </si>
  <si>
    <t>68-3E-02-0A-04-E4</t>
  </si>
  <si>
    <t>68-3E-02-0E-C1-DD</t>
  </si>
  <si>
    <t>68-3E-02-0E-C1-E3</t>
  </si>
  <si>
    <t>68-3E-02-10-40-8A</t>
  </si>
  <si>
    <t>68-3E-02-0A-05-05</t>
  </si>
  <si>
    <t>68-3E-02-1A-DA-D6</t>
  </si>
  <si>
    <t>68-3E-02-1A-DA-E8</t>
  </si>
  <si>
    <t>68-3E-02-1A-DA-D9</t>
  </si>
  <si>
    <t>68-3E-02-1A-DA-D3</t>
  </si>
  <si>
    <t>68-3E-02-14-2D-78</t>
  </si>
  <si>
    <t>68-3E-02-14-2D-75</t>
  </si>
  <si>
    <t>68-3E-02-1A-DA-F1</t>
  </si>
  <si>
    <t>68-3E-02-1A-DA-F4</t>
  </si>
  <si>
    <t>68-3E-02-1A-DA-FA</t>
  </si>
  <si>
    <t>68-3E-02-1A-DA-FD</t>
  </si>
  <si>
    <t>68-3E-02-1A-DA-CA</t>
  </si>
  <si>
    <t>68-3E-02-1A-DA-C1</t>
  </si>
  <si>
    <t>68-3E-02-1C-02-06</t>
  </si>
  <si>
    <t>68-3E-02-1C-02-03</t>
  </si>
  <si>
    <t>68-3E-02-1C-01-FD</t>
  </si>
  <si>
    <t>68-3E-02-1C-02-21</t>
  </si>
  <si>
    <t>68-3E-02-1C-02-81</t>
  </si>
  <si>
    <t>AC-64-17-8A-1A-33</t>
  </si>
  <si>
    <t>AC-64-17-8A-10-3C</t>
  </si>
  <si>
    <t>AC-64-17-8F-7E-87</t>
  </si>
  <si>
    <t>68-3E-02-0C-FD-D9</t>
  </si>
  <si>
    <t>68-3E-02-0C-FE-87</t>
  </si>
  <si>
    <t>AC-64-17-60-16-F9</t>
  </si>
  <si>
    <t>E0-DC-A0-D3-DA-FA</t>
  </si>
  <si>
    <t>68-3E-02-1A-DB-84</t>
  </si>
  <si>
    <t>68-3E-02-1A-DB-12</t>
  </si>
  <si>
    <t>68-3E-02-1A-DB-0F</t>
  </si>
  <si>
    <t>68-3E-02-1A-DB-1B</t>
  </si>
  <si>
    <t>68-3E-02-1B-B2-CE</t>
  </si>
  <si>
    <t>68-3E-02-1B-B3-34</t>
  </si>
  <si>
    <t>68-3E-02-1B-B2-EC</t>
  </si>
  <si>
    <t>68-3E-02-1B-B2-E3</t>
  </si>
  <si>
    <t>68-3E-02-1A-DB-B1</t>
  </si>
  <si>
    <t>68-3E-02-1A-DB-B7</t>
  </si>
  <si>
    <t>68-3E-02-0C-FE-BA</t>
  </si>
  <si>
    <t>D4-F5-27-B8-57-57</t>
  </si>
  <si>
    <t>D4-F5-27-B8-58-F7</t>
  </si>
  <si>
    <t>D4-F5-27-B8-57-77</t>
  </si>
  <si>
    <t>D4-F5-27-B8-58-D7</t>
  </si>
  <si>
    <t>D4-F5-27-A3-1B-63</t>
  </si>
  <si>
    <t>E0-DC-A0-DA-E8-B4</t>
  </si>
  <si>
    <t>FIM  IP</t>
  </si>
  <si>
    <t>NOVO</t>
  </si>
  <si>
    <t>68-3E-02-55-8C-94</t>
  </si>
  <si>
    <t>68-3E-02-59-77-27</t>
  </si>
  <si>
    <t>68-3E-02-5A-F1-18</t>
  </si>
  <si>
    <t>3RW5</t>
  </si>
  <si>
    <t>REMCCM3</t>
  </si>
  <si>
    <t>DEGDA01</t>
  </si>
  <si>
    <t>SECVT13</t>
  </si>
  <si>
    <t>SECVT14</t>
  </si>
  <si>
    <t>SECVT15</t>
  </si>
  <si>
    <t>SECVT16</t>
  </si>
  <si>
    <t>SW1_CCM 1</t>
  </si>
  <si>
    <t>SW1_CCM 2</t>
  </si>
  <si>
    <t>SW1_CCM 3</t>
  </si>
  <si>
    <t>SW1_CCM 4</t>
  </si>
  <si>
    <t>SW1_CCM 5</t>
  </si>
  <si>
    <t>RESPONSAVEL TÉCNICO- Tallison Barros;</t>
  </si>
  <si>
    <t>5C-88-16-F6-E5-7B</t>
  </si>
  <si>
    <t>5C-88-16-B9-A6-13</t>
  </si>
  <si>
    <t>5C-88-16-9A-44-84</t>
  </si>
  <si>
    <t>5C-88-16-B9-A1-35</t>
  </si>
  <si>
    <t>F4-54-33-86-C1-88</t>
  </si>
  <si>
    <t>F4-54-33-80-B7-06</t>
  </si>
  <si>
    <t>00-1D-9C-EF-61-3B</t>
  </si>
  <si>
    <t>00-1D-9C-EF-61-86</t>
  </si>
  <si>
    <t>00-1D-9C-EF-60-EC</t>
  </si>
  <si>
    <t>00-1D-9C-EF-60-C3</t>
  </si>
  <si>
    <t>68-3E-02-0C-FE-B1</t>
  </si>
  <si>
    <t>5C-88-16-B9-A2-20</t>
  </si>
  <si>
    <t>88-3F-99-02-56-50</t>
  </si>
  <si>
    <t>88-3F-99-03-3A-C0</t>
  </si>
  <si>
    <t>88-3F-99-03-3A-B5</t>
  </si>
  <si>
    <t>88-3F-99-02-56-73</t>
  </si>
  <si>
    <t>CPU OPERAÇÃO</t>
  </si>
  <si>
    <t>NOTEBOOK SET 2</t>
  </si>
  <si>
    <t>68-3E-02-0A-04-B4</t>
  </si>
  <si>
    <t>88-3F-99-05-26-C4</t>
  </si>
  <si>
    <t>88-3F-99-05-26-A9</t>
  </si>
  <si>
    <t>88-3F-99-05-26-A7</t>
  </si>
  <si>
    <t>3RW6</t>
  </si>
  <si>
    <t>PLANILHA DE IO MILHÃO</t>
  </si>
  <si>
    <t>LIMVT07</t>
  </si>
  <si>
    <t>LIMVT02</t>
  </si>
  <si>
    <t>LIMVT03</t>
  </si>
  <si>
    <t>68:3E:02:1A:DA:C7</t>
  </si>
  <si>
    <t>68:3E:02:1A:DA:BB</t>
  </si>
  <si>
    <t>AC:B4:80:30:FE:A1</t>
  </si>
  <si>
    <t>68:3E:02:0C:FD:E2</t>
  </si>
  <si>
    <t>68:3E:02:1A:77:43</t>
  </si>
  <si>
    <t>88:3F:99:05:26:CA</t>
  </si>
  <si>
    <t>88:3F:99:05:8A:E4</t>
  </si>
  <si>
    <t>88:3F:99:05:26:A4</t>
  </si>
  <si>
    <t>88:3F:99:02:56:5F</t>
  </si>
  <si>
    <t>68:3E:02:1A:DB:06</t>
  </si>
  <si>
    <t>68:3E:02:1B:B2:E6</t>
  </si>
  <si>
    <t>68:3E:02:1B:B3:16</t>
  </si>
  <si>
    <t>68:3E:02:1B:B3:2E</t>
  </si>
  <si>
    <t>68:3E:02:1B:B2:FE</t>
  </si>
  <si>
    <t>68:3E:02:1A:E5:0E</t>
  </si>
  <si>
    <t>68:3E:02:1B:B3:10</t>
  </si>
  <si>
    <t>68:3E:02:18:CC:7D</t>
  </si>
  <si>
    <t>68:3E:02:1C:19:CA</t>
  </si>
  <si>
    <t>68:3E:02:1C:19:B5</t>
  </si>
  <si>
    <t>68:3E:02:0C:FE:87</t>
  </si>
  <si>
    <t>88:3F:99:05:91:9E</t>
  </si>
  <si>
    <t>68:3E:02:0D:99:46</t>
  </si>
  <si>
    <t>5C:88:16:B9:A5:94</t>
  </si>
  <si>
    <t>F4:54:33:ED:03:F4</t>
  </si>
  <si>
    <t>F4:54:33:97:7E:22</t>
  </si>
  <si>
    <t>F4:54:33:97:7E:21</t>
  </si>
  <si>
    <t>F4:54:33:AA:CE:F4</t>
  </si>
  <si>
    <t>F4:54:33:AA:CF:92</t>
  </si>
  <si>
    <t>F4:54:33:AA:CF:93</t>
  </si>
  <si>
    <t>00:02:A2:35:FD:B8</t>
  </si>
  <si>
    <t>AC:64:17:8F:7C:FA</t>
  </si>
  <si>
    <t>68:3E:02:0C:FE:93</t>
  </si>
  <si>
    <t>68:3E:02:0C:FE:99</t>
  </si>
  <si>
    <t>68:3E:02:0C:FE:2A</t>
  </si>
  <si>
    <t>5C:88:16:B9:A5:B3</t>
  </si>
  <si>
    <t>5C:88:16:B8:6D:99</t>
  </si>
  <si>
    <t>5C:88:16:B9:A5:99</t>
  </si>
  <si>
    <t>5C:88:16:B8:6D:97</t>
  </si>
  <si>
    <t>5C:88:16:B9:A1:DE</t>
  </si>
  <si>
    <t>5C:88:16:B8:6D:4D</t>
  </si>
  <si>
    <t>5C:88:16:B9:A5:14</t>
  </si>
  <si>
    <t>F4:54:33:97:62:6D</t>
  </si>
  <si>
    <t>00:30:11:14:C6:48</t>
  </si>
  <si>
    <t>68:3E:02:18:A2:C2</t>
  </si>
  <si>
    <t>68:3E:02:18:A2:CE</t>
  </si>
  <si>
    <t>68:3E:02:1B:F9:B1</t>
  </si>
  <si>
    <t>68:3E:02:1B:FD:4A</t>
  </si>
  <si>
    <t>68:3E:02:1B:FD:BF</t>
  </si>
  <si>
    <t>68:3E:02:1B:F8:D3</t>
  </si>
  <si>
    <t>68:3E:02:1C:19:BE</t>
  </si>
  <si>
    <t>68:3E:02:1C:19:C1</t>
  </si>
  <si>
    <t>68:3E:02:1C:19:AF</t>
  </si>
  <si>
    <t>68:3E:02:1C:19:BB</t>
  </si>
  <si>
    <t>68:3E:02:1C:19:B8</t>
  </si>
  <si>
    <t>68:3E:02:1B:15:B0</t>
  </si>
  <si>
    <t>68:3E:02:1B:15:BC</t>
  </si>
  <si>
    <t>68:3E:02:1B:B2:D1</t>
  </si>
  <si>
    <t>68:3E:02:1A:7E:3C</t>
  </si>
  <si>
    <t>LIMPL01</t>
  </si>
  <si>
    <t>COPDEGDG09</t>
  </si>
  <si>
    <t>COPDEGDG10</t>
  </si>
  <si>
    <t>COPDEGDG07</t>
  </si>
  <si>
    <t>COPDEGDG08</t>
  </si>
  <si>
    <t>COPDEGDG05</t>
  </si>
  <si>
    <t>COPDEGDG06</t>
  </si>
  <si>
    <t>ENSDF01</t>
  </si>
  <si>
    <t>ENSDF02</t>
  </si>
  <si>
    <t>ENSDF03</t>
  </si>
  <si>
    <t>MOAVT09</t>
  </si>
  <si>
    <t>s7-1200</t>
  </si>
  <si>
    <t>TP-700</t>
  </si>
  <si>
    <t>COPDEGDG10(old)</t>
  </si>
  <si>
    <t>MODBUS</t>
  </si>
  <si>
    <t>LIMVT08</t>
  </si>
  <si>
    <t>CLAVR02</t>
  </si>
  <si>
    <t>CPU OPERAÇÃO 01</t>
  </si>
  <si>
    <t>FABRICA01 CPU</t>
  </si>
  <si>
    <t>-</t>
  </si>
  <si>
    <t>LIMBL01</t>
  </si>
  <si>
    <t>ALFA</t>
  </si>
  <si>
    <t>ET200SP_GTW</t>
  </si>
  <si>
    <t>SIEMENS</t>
  </si>
  <si>
    <t>CPU SECBL02</t>
  </si>
  <si>
    <t>IHM SECBL02</t>
  </si>
  <si>
    <t>SECBL01</t>
  </si>
  <si>
    <t>COPP-MODBUS</t>
  </si>
  <si>
    <t>7GATGETS</t>
  </si>
  <si>
    <t>PYTHON3</t>
  </si>
  <si>
    <t>7Gadget</t>
  </si>
  <si>
    <t>SECDF01</t>
  </si>
  <si>
    <t>SECVR28</t>
  </si>
  <si>
    <t>MOAMM011</t>
  </si>
  <si>
    <t>ok</t>
  </si>
  <si>
    <t>NOTEBOOK SET 5</t>
  </si>
  <si>
    <t>CLAPO01</t>
  </si>
  <si>
    <t>CPU CLABL01</t>
  </si>
  <si>
    <t>IHM CLABL01</t>
  </si>
  <si>
    <t>CPU FTVIEW SQL</t>
  </si>
  <si>
    <t>NOTEBOOK ANT.</t>
  </si>
  <si>
    <t>NOTEBOOK ANT VM.</t>
  </si>
  <si>
    <t>NOTEBOOK TAL.</t>
  </si>
  <si>
    <t>NOTEBOOK TAL VMI.</t>
  </si>
  <si>
    <t>NOTEBOOK TAL VMII.</t>
  </si>
  <si>
    <t>MOABC031</t>
  </si>
  <si>
    <t>MOABC032</t>
  </si>
  <si>
    <t>MOABC041</t>
  </si>
  <si>
    <t>MOABC042</t>
  </si>
  <si>
    <t>MOABC051</t>
  </si>
  <si>
    <t>MOABC052</t>
  </si>
  <si>
    <t>MOABC061</t>
  </si>
  <si>
    <t>MOABC062</t>
  </si>
  <si>
    <t>G121</t>
  </si>
  <si>
    <t>G122</t>
  </si>
  <si>
    <t>G123</t>
  </si>
  <si>
    <t>G124</t>
  </si>
  <si>
    <t>G125</t>
  </si>
  <si>
    <t>G126</t>
  </si>
  <si>
    <t>G127</t>
  </si>
  <si>
    <t>G128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</si>
</sst>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9"/>
      <name val="Calibri"/>
      <family val="2"/>
      <scheme val="minor"/>
    </font>
    <font>
      <b/>
      <u/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24"/>
      <color theme="5"/>
      <name val="Arial Black"/>
      <family val="2"/>
    </font>
    <font>
      <b/>
      <sz val="14"/>
      <color theme="1"/>
      <name val="Arial Black"/>
      <family val="2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2" fontId="0" fillId="0" borderId="0" xfId="0" applyNumberFormat="1"/>
    <xf numFmtId="2" fontId="8" fillId="0" borderId="0" xfId="1" applyNumberFormat="1" applyFont="1" applyFill="1" applyAlignment="1">
      <alignment horizontal="center" vertical="center"/>
    </xf>
    <xf numFmtId="0" fontId="5" fillId="0" borderId="0" xfId="0" applyFont="1"/>
    <xf numFmtId="2" fontId="5" fillId="0" borderId="0" xfId="0" applyNumberFormat="1" applyFont="1"/>
    <xf numFmtId="0" fontId="9" fillId="0" borderId="0" xfId="0" applyFont="1"/>
    <xf numFmtId="0" fontId="8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" fontId="10" fillId="0" borderId="0" xfId="1" applyNumberFormat="1" applyFont="1" applyFill="1" applyBorder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horizontal="center" vertical="center"/>
    </xf>
    <xf numFmtId="2" fontId="8" fillId="0" borderId="0" xfId="1" applyNumberFormat="1" applyFont="1" applyFill="1" applyBorder="1" applyAlignment="1">
      <alignment horizontal="center"/>
    </xf>
    <xf numFmtId="2" fontId="8" fillId="0" borderId="0" xfId="1" applyNumberFormat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8" fillId="5" borderId="0" xfId="1" applyFont="1" applyFill="1" applyBorder="1" applyAlignment="1">
      <alignment horizontal="center"/>
    </xf>
    <xf numFmtId="2" fontId="8" fillId="5" borderId="0" xfId="1" applyNumberFormat="1" applyFont="1" applyFill="1" applyBorder="1" applyAlignment="1">
      <alignment horizontal="center"/>
    </xf>
    <xf numFmtId="1" fontId="10" fillId="5" borderId="0" xfId="1" applyNumberFormat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horizontal="center" vertical="center"/>
    </xf>
    <xf numFmtId="2" fontId="8" fillId="5" borderId="0" xfId="1" applyNumberFormat="1" applyFont="1" applyFill="1" applyAlignment="1">
      <alignment horizontal="center"/>
    </xf>
    <xf numFmtId="2" fontId="8" fillId="5" borderId="0" xfId="1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1" fontId="10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2" fontId="8" fillId="5" borderId="0" xfId="1" applyNumberFormat="1" applyFont="1" applyFill="1" applyAlignment="1">
      <alignment horizontal="center" vertical="center"/>
    </xf>
    <xf numFmtId="0" fontId="8" fillId="5" borderId="0" xfId="0" quotePrefix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  <xf numFmtId="0" fontId="2" fillId="3" borderId="0" xfId="1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8" fillId="5" borderId="0" xfId="1" applyFont="1" applyFill="1" applyAlignment="1">
      <alignment horizontal="center"/>
    </xf>
    <xf numFmtId="0" fontId="4" fillId="0" borderId="0" xfId="0" applyFont="1" applyAlignment="1">
      <alignment horizontal="left" vertical="center" wrapText="1" indent="23"/>
    </xf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indent="1"/>
    </xf>
    <xf numFmtId="0" fontId="12" fillId="0" borderId="0" xfId="0" applyFont="1" applyAlignment="1">
      <alignment horizontal="center"/>
    </xf>
    <xf numFmtId="14" fontId="1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 wrapText="1" indent="19"/>
    </xf>
  </cellXfs>
  <cellStyles count="2">
    <cellStyle name="Hiperlink" xfId="1" builtinId="8"/>
    <cellStyle name="Normal" xfId="0" builtinId="0"/>
  </cellStyles>
  <dxfs count="14"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5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0" xr9:uid="{192C362C-4D7B-4AC5-9BD8-5897A96C67C9}"/>
  </tableStyles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415290</xdr:colOff>
      <xdr:row>0</xdr:row>
      <xdr:rowOff>161925</xdr:rowOff>
    </xdr:from>
    <xdr:to>
      <xdr:col>2</xdr:col>
      <xdr:colOff>2051049</xdr:colOff>
      <xdr:row>0</xdr:row>
      <xdr:rowOff>695325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2C0C477-E6E8-4717-BB1B-20436D5D8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4177665" y="161925"/>
          <a:ext cx="1635759" cy="5334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200025</xdr:rowOff>
    </xdr:from>
    <xdr:to>
      <xdr:col>0</xdr:col>
      <xdr:colOff>1428750</xdr:colOff>
      <xdr:row>0</xdr:row>
      <xdr:rowOff>721062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5764A7-3F53-4919-8C7C-6A3708D0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50" y="200025"/>
          <a:ext cx="1219200" cy="5210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374787</xdr:colOff>
      <xdr:row>3</xdr:row>
      <xdr:rowOff>149087</xdr:rowOff>
    </xdr:from>
    <xdr:to>
      <xdr:col>9</xdr:col>
      <xdr:colOff>374787</xdr:colOff>
      <xdr:row>3</xdr:row>
      <xdr:rowOff>511037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64B1E27D-675B-488E-955D-767662D11488}"/>
            </a:ext>
          </a:extLst>
        </xdr:cNvPr>
        <xdr:cNvCxnSpPr/>
      </xdr:nvCxnSpPr>
      <xdr:spPr>
        <a:xfrm>
          <a:off x="9118737" y="1777862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347869</xdr:colOff>
      <xdr:row>3</xdr:row>
      <xdr:rowOff>157370</xdr:rowOff>
    </xdr:from>
    <xdr:to>
      <xdr:col>2</xdr:col>
      <xdr:colOff>347869</xdr:colOff>
      <xdr:row>3</xdr:row>
      <xdr:rowOff>519320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461DD73-7500-48C1-8C98-1382CB98AF1A}"/>
            </a:ext>
          </a:extLst>
        </xdr:cNvPr>
        <xdr:cNvCxnSpPr/>
      </xdr:nvCxnSpPr>
      <xdr:spPr>
        <a:xfrm>
          <a:off x="1366630" y="1789044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403225</xdr:colOff>
      <xdr:row>0</xdr:row>
      <xdr:rowOff>104775</xdr:rowOff>
    </xdr:from>
    <xdr:to>
      <xdr:col>9</xdr:col>
      <xdr:colOff>603249</xdr:colOff>
      <xdr:row>0</xdr:row>
      <xdr:rowOff>763405</xdr:rowOff>
    </xdr:to>
    <xdr:pic>
      <xdr:nvPicPr>
        <xdr:cNvPr id="10" name="Imagem 2">
          <a:extLst>
            <a:ext uri="{FF2B5EF4-FFF2-40B4-BE49-F238E27FC236}">
              <a16:creationId xmlns:a16="http://schemas.microsoft.com/office/drawing/2014/main" id="{F0B7FAE3-C96B-4AA8-8A83-08404888C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6450" y="104775"/>
          <a:ext cx="2190749" cy="65863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177310</xdr:rowOff>
    </xdr:from>
    <xdr:to>
      <xdr:col>3</xdr:col>
      <xdr:colOff>6788</xdr:colOff>
      <xdr:row>0</xdr:row>
      <xdr:rowOff>742460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2ED2FF1-5608-4595-AA9D-259475B64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52525" y="177310"/>
          <a:ext cx="1321238" cy="5651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C40EE6-058C-4E5D-B771-2AE85E6BE894}" name="Tabela195" displayName="Tabela195" ref="C5:J260" totalsRowShown="0" headerRowDxfId="13" dataDxfId="12" headerRowCellStyle="Hiperlink" dataCellStyle="Hiperlink">
  <autoFilter ref="C5:J260" xr:uid="{00C40EE6-058C-4E5D-B771-2AE85E6BE894}"/>
  <sortState xmlns:xlrd2="http://schemas.microsoft.com/office/spreadsheetml/2017/richdata2" ref="C6:J371">
    <sortCondition ref="F5:F371"/>
  </sortState>
  <tableColumns count="8">
    <tableColumn id="1" xr3:uid="{544CE339-EF89-4716-8CFD-F26D77EADA2D}" name="EQP" dataDxfId="11" dataCellStyle="Hiperlink"/>
    <tableColumn id="2" xr3:uid="{69560FA0-B03B-4EA9-9812-0E7A98DBA1CC}" name="NOVO" dataDxfId="10" dataCellStyle="Hiperlink"/>
    <tableColumn id="3" xr3:uid="{B2BD3503-2C14-44D2-AAF9-85098B384D3F}" name="IP" dataDxfId="9" dataCellStyle="Hiperlink"/>
    <tableColumn id="4" xr3:uid="{F88340D7-44F5-4F0E-BE9C-256331C3F3AD}" name="FIM  IP" dataDxfId="8" dataCellStyle="Hiperlink">
      <calculatedColumnFormula>IF(E6="","",VALUE(RIGHT(E6,LEN(E6)-FIND("@",SUBSTITUTE(E6,".","@",3)))))</calculatedColumnFormula>
    </tableColumn>
    <tableColumn id="10" xr3:uid="{D9D21D9C-A9DF-4AD5-AB69-D7B2A5E23883}" name="MAC" dataDxfId="7" dataCellStyle="Hiperlink"/>
    <tableColumn id="11" xr3:uid="{1B739ED4-65A7-45D1-A6A1-90DEE3B690D5}" name="PLC" dataDxfId="6" dataCellStyle="Hiperlink"/>
    <tableColumn id="9" xr3:uid="{41FB3E38-5F17-460A-A138-8D5B1F4D7FC2}" name="DRIVE" dataDxfId="5" dataCellStyle="Hiperlink"/>
    <tableColumn id="8" xr3:uid="{F1CC4451-CA06-4C9E-B0C3-EC0857A188B7}" name="STATUS" dataDxfId="4" dataCellStyle="Hiperlink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9380-749E-49EC-93BA-708E85607BD7}">
  <sheetPr codeName="Planilha2"/>
  <dimension ref="A1:G21"/>
  <sheetViews>
    <sheetView workbookViewId="0">
      <selection activeCell="C250" sqref="C250:H250"/>
    </sheetView>
  </sheetViews>
  <sheetFormatPr defaultRowHeight="14.5" x14ac:dyDescent="0.35"/>
  <cols>
    <col min="1" max="1" width="31.7265625" customWidth="1"/>
    <col min="2" max="2" width="24.7265625" customWidth="1"/>
    <col min="3" max="3" width="31.7265625" customWidth="1"/>
  </cols>
  <sheetData>
    <row r="1" spans="1:7" ht="72.75" customHeight="1" x14ac:dyDescent="0.35">
      <c r="A1" s="41" t="s">
        <v>1</v>
      </c>
      <c r="B1" s="41"/>
      <c r="C1" s="41"/>
      <c r="D1" s="30"/>
      <c r="E1" s="30"/>
      <c r="F1" s="30"/>
      <c r="G1" s="30"/>
    </row>
    <row r="20" spans="1:3" ht="41.25" customHeight="1" x14ac:dyDescent="1.05">
      <c r="A20" s="39" t="s">
        <v>520</v>
      </c>
      <c r="B20" s="39"/>
      <c r="C20" s="39"/>
    </row>
    <row r="21" spans="1:3" ht="37.5" customHeight="1" x14ac:dyDescent="0.35">
      <c r="A21" s="40">
        <f ca="1">TODAY()</f>
        <v>46124</v>
      </c>
      <c r="B21" s="40"/>
      <c r="C21" s="40"/>
    </row>
  </sheetData>
  <mergeCells count="3">
    <mergeCell ref="A20:C20"/>
    <mergeCell ref="A21:C21"/>
    <mergeCell ref="A1:C1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388F-64C7-4C13-BD0A-28F55A8D6E24}">
  <sheetPr codeName="Planilha22">
    <pageSetUpPr fitToPage="1"/>
  </sheetPr>
  <dimension ref="A1:N371"/>
  <sheetViews>
    <sheetView tabSelected="1" zoomScaleNormal="100" workbookViewId="0">
      <pane ySplit="5" topLeftCell="A6" activePane="bottomLeft" state="frozen"/>
      <selection activeCell="E250" sqref="E250"/>
      <selection pane="bottomLeft" activeCell="K261" sqref="A1:K261"/>
    </sheetView>
  </sheetViews>
  <sheetFormatPr defaultRowHeight="15.5" x14ac:dyDescent="0.35"/>
  <cols>
    <col min="2" max="2" width="6.1796875" customWidth="1"/>
    <col min="3" max="3" width="21.6328125" style="8" customWidth="1"/>
    <col min="4" max="4" width="5.54296875" style="8" customWidth="1"/>
    <col min="5" max="5" width="23.54296875" style="8" customWidth="1"/>
    <col min="6" max="6" width="9" style="8" hidden="1" customWidth="1"/>
    <col min="7" max="7" width="22.26953125" style="8" customWidth="1"/>
    <col min="8" max="8" width="13.54296875" style="8" customWidth="1"/>
    <col min="9" max="9" width="16.26953125" style="7" customWidth="1"/>
    <col min="10" max="10" width="10.54296875" style="8" customWidth="1"/>
    <col min="12" max="12" width="18.453125" customWidth="1"/>
    <col min="13" max="13" width="17.81640625" customWidth="1"/>
    <col min="14" max="14" width="16" style="1" hidden="1" customWidth="1"/>
  </cols>
  <sheetData>
    <row r="1" spans="3:14" ht="72.75" customHeight="1" x14ac:dyDescent="0.35">
      <c r="C1" s="34" t="s">
        <v>1</v>
      </c>
      <c r="D1" s="34"/>
      <c r="E1" s="34"/>
      <c r="F1" s="34"/>
      <c r="G1" s="34"/>
      <c r="H1" s="37"/>
      <c r="I1" s="37"/>
      <c r="J1" s="37"/>
      <c r="N1"/>
    </row>
    <row r="2" spans="3:14" ht="24" customHeight="1" x14ac:dyDescent="0.35">
      <c r="C2" s="35"/>
      <c r="D2" s="35"/>
      <c r="E2" s="35"/>
      <c r="F2" s="35"/>
      <c r="G2" s="35"/>
      <c r="H2" s="35"/>
      <c r="I2"/>
      <c r="J2"/>
      <c r="N2"/>
    </row>
    <row r="3" spans="3:14" ht="31.5" customHeight="1" x14ac:dyDescent="0.35">
      <c r="C3" s="38" t="s">
        <v>496</v>
      </c>
      <c r="D3" s="38"/>
      <c r="E3" s="38"/>
      <c r="F3" s="38"/>
      <c r="G3" s="38"/>
      <c r="H3" s="38"/>
      <c r="I3" s="38"/>
      <c r="J3" s="38"/>
      <c r="N3"/>
    </row>
    <row r="4" spans="3:14" ht="51" customHeight="1" x14ac:dyDescent="0.35">
      <c r="C4" s="36" t="s">
        <v>2</v>
      </c>
      <c r="D4" s="36"/>
      <c r="E4" s="36"/>
      <c r="F4" s="36"/>
      <c r="G4" s="36"/>
      <c r="H4" s="36"/>
      <c r="I4" s="36"/>
      <c r="J4" s="36"/>
      <c r="N4"/>
    </row>
    <row r="5" spans="3:14" x14ac:dyDescent="0.35">
      <c r="C5" s="31" t="s">
        <v>83</v>
      </c>
      <c r="D5" s="31" t="s">
        <v>480</v>
      </c>
      <c r="E5" s="31" t="s">
        <v>84</v>
      </c>
      <c r="F5" s="31" t="s">
        <v>479</v>
      </c>
      <c r="G5" s="31" t="s">
        <v>106</v>
      </c>
      <c r="H5" s="31" t="s">
        <v>113</v>
      </c>
      <c r="I5" s="31" t="s">
        <v>85</v>
      </c>
      <c r="J5" s="31" t="s">
        <v>87</v>
      </c>
      <c r="N5"/>
    </row>
    <row r="6" spans="3:14" x14ac:dyDescent="0.35">
      <c r="C6" s="24" t="s">
        <v>189</v>
      </c>
      <c r="D6" s="24"/>
      <c r="E6" s="24" t="s">
        <v>188</v>
      </c>
      <c r="F6" s="25">
        <f t="shared" ref="F6:F69" si="0">IF(E6="","",VALUE(RIGHT(E6,LEN(E6)-FIND("@",SUBSTITUTE(E6,".","@",3)))))</f>
        <v>1</v>
      </c>
      <c r="G6" s="24" t="s">
        <v>497</v>
      </c>
      <c r="H6" s="28" t="s">
        <v>0</v>
      </c>
      <c r="I6" s="21" t="s">
        <v>114</v>
      </c>
      <c r="J6" s="24" t="s">
        <v>86</v>
      </c>
      <c r="N6"/>
    </row>
    <row r="7" spans="3:14" x14ac:dyDescent="0.35">
      <c r="C7" s="24" t="s">
        <v>191</v>
      </c>
      <c r="D7" s="24"/>
      <c r="E7" s="24" t="s">
        <v>190</v>
      </c>
      <c r="F7" s="25">
        <f t="shared" si="0"/>
        <v>2</v>
      </c>
      <c r="G7" s="24" t="s">
        <v>498</v>
      </c>
      <c r="H7" s="24" t="s">
        <v>114</v>
      </c>
      <c r="I7" s="26" t="s">
        <v>217</v>
      </c>
      <c r="J7" s="24" t="s">
        <v>86</v>
      </c>
      <c r="N7"/>
    </row>
    <row r="8" spans="3:14" x14ac:dyDescent="0.35">
      <c r="C8" s="18" t="s">
        <v>134</v>
      </c>
      <c r="D8" s="18"/>
      <c r="E8" s="19" t="s">
        <v>136</v>
      </c>
      <c r="F8" s="20">
        <f t="shared" si="0"/>
        <v>3</v>
      </c>
      <c r="G8" s="19" t="s">
        <v>448</v>
      </c>
      <c r="H8" s="19" t="s">
        <v>116</v>
      </c>
      <c r="I8" s="21" t="s">
        <v>88</v>
      </c>
      <c r="J8" s="23" t="s">
        <v>86</v>
      </c>
      <c r="N8"/>
    </row>
    <row r="9" spans="3:14" x14ac:dyDescent="0.35">
      <c r="C9" s="18" t="s">
        <v>137</v>
      </c>
      <c r="D9" s="18"/>
      <c r="E9" s="19" t="s">
        <v>138</v>
      </c>
      <c r="F9" s="20">
        <f t="shared" si="0"/>
        <v>4</v>
      </c>
      <c r="G9" s="22" t="s">
        <v>444</v>
      </c>
      <c r="H9" s="19" t="s">
        <v>116</v>
      </c>
      <c r="I9" s="21" t="s">
        <v>88</v>
      </c>
      <c r="J9" s="23" t="s">
        <v>86</v>
      </c>
      <c r="N9"/>
    </row>
    <row r="10" spans="3:14" x14ac:dyDescent="0.35">
      <c r="C10" s="18" t="s">
        <v>139</v>
      </c>
      <c r="D10" s="18"/>
      <c r="E10" s="19" t="s">
        <v>140</v>
      </c>
      <c r="F10" s="20">
        <f t="shared" si="0"/>
        <v>5</v>
      </c>
      <c r="G10" s="19" t="s">
        <v>462</v>
      </c>
      <c r="H10" s="19" t="s">
        <v>116</v>
      </c>
      <c r="I10" s="21" t="s">
        <v>88</v>
      </c>
      <c r="J10" s="23" t="s">
        <v>86</v>
      </c>
      <c r="N10"/>
    </row>
    <row r="11" spans="3:14" x14ac:dyDescent="0.35">
      <c r="C11" s="18" t="s">
        <v>141</v>
      </c>
      <c r="D11" s="18"/>
      <c r="E11" s="19" t="s">
        <v>142</v>
      </c>
      <c r="F11" s="20">
        <f t="shared" si="0"/>
        <v>6</v>
      </c>
      <c r="G11" s="22" t="s">
        <v>524</v>
      </c>
      <c r="H11" s="19" t="s">
        <v>116</v>
      </c>
      <c r="I11" s="21" t="s">
        <v>88</v>
      </c>
      <c r="J11" s="23" t="s">
        <v>86</v>
      </c>
      <c r="N11"/>
    </row>
    <row r="12" spans="3:14" x14ac:dyDescent="0.35">
      <c r="C12" s="10" t="s">
        <v>610</v>
      </c>
      <c r="D12" s="10"/>
      <c r="E12" s="10" t="s">
        <v>365</v>
      </c>
      <c r="F12" s="13">
        <f t="shared" si="0"/>
        <v>7</v>
      </c>
      <c r="G12" s="10"/>
      <c r="H12" s="10" t="s">
        <v>114</v>
      </c>
      <c r="I12" s="9" t="s">
        <v>611</v>
      </c>
      <c r="J12" s="10"/>
      <c r="N12"/>
    </row>
    <row r="13" spans="3:14" x14ac:dyDescent="0.35">
      <c r="C13" s="10" t="s">
        <v>414</v>
      </c>
      <c r="D13" s="10"/>
      <c r="E13" s="10" t="s">
        <v>366</v>
      </c>
      <c r="F13" s="13">
        <f t="shared" si="0"/>
        <v>8</v>
      </c>
      <c r="G13" s="10" t="s">
        <v>438</v>
      </c>
      <c r="H13" s="10" t="s">
        <v>116</v>
      </c>
      <c r="I13" s="9"/>
      <c r="J13" s="10"/>
      <c r="N13"/>
    </row>
    <row r="14" spans="3:14" x14ac:dyDescent="0.35">
      <c r="C14" s="10" t="s">
        <v>415</v>
      </c>
      <c r="D14" s="10"/>
      <c r="E14" s="10" t="s">
        <v>367</v>
      </c>
      <c r="F14" s="13">
        <f t="shared" si="0"/>
        <v>9</v>
      </c>
      <c r="G14" s="10" t="s">
        <v>463</v>
      </c>
      <c r="H14" s="10" t="s">
        <v>116</v>
      </c>
      <c r="I14" s="9"/>
      <c r="J14" s="10"/>
      <c r="N14"/>
    </row>
    <row r="15" spans="3:14" x14ac:dyDescent="0.35">
      <c r="C15" s="10" t="s">
        <v>416</v>
      </c>
      <c r="D15" s="10"/>
      <c r="E15" s="10" t="s">
        <v>368</v>
      </c>
      <c r="F15" s="13">
        <f t="shared" si="0"/>
        <v>10</v>
      </c>
      <c r="G15" s="10"/>
      <c r="H15" s="10" t="s">
        <v>116</v>
      </c>
      <c r="I15" s="9"/>
      <c r="J15" s="10"/>
      <c r="N15"/>
    </row>
    <row r="16" spans="3:14" x14ac:dyDescent="0.35">
      <c r="C16" s="18" t="s">
        <v>89</v>
      </c>
      <c r="D16" s="24" t="s">
        <v>480</v>
      </c>
      <c r="E16" s="19" t="s">
        <v>156</v>
      </c>
      <c r="F16" s="20">
        <f t="shared" si="0"/>
        <v>11</v>
      </c>
      <c r="G16" s="19" t="s">
        <v>107</v>
      </c>
      <c r="H16" s="19" t="s">
        <v>114</v>
      </c>
      <c r="I16" s="21" t="s">
        <v>88</v>
      </c>
      <c r="J16" s="21" t="s">
        <v>86</v>
      </c>
      <c r="N16"/>
    </row>
    <row r="17" spans="1:14" x14ac:dyDescent="0.35">
      <c r="C17" s="18" t="s">
        <v>90</v>
      </c>
      <c r="D17" s="24" t="s">
        <v>480</v>
      </c>
      <c r="E17" s="19" t="s">
        <v>157</v>
      </c>
      <c r="F17" s="20">
        <f t="shared" si="0"/>
        <v>12</v>
      </c>
      <c r="G17" s="19" t="s">
        <v>108</v>
      </c>
      <c r="H17" s="19" t="s">
        <v>114</v>
      </c>
      <c r="I17" s="21" t="s">
        <v>88</v>
      </c>
      <c r="J17" s="21" t="s">
        <v>86</v>
      </c>
      <c r="N17"/>
    </row>
    <row r="18" spans="1:14" x14ac:dyDescent="0.35">
      <c r="C18" s="18" t="s">
        <v>91</v>
      </c>
      <c r="D18" s="24" t="s">
        <v>480</v>
      </c>
      <c r="E18" s="19" t="s">
        <v>158</v>
      </c>
      <c r="F18" s="20">
        <f t="shared" si="0"/>
        <v>13</v>
      </c>
      <c r="G18" s="19" t="s">
        <v>109</v>
      </c>
      <c r="H18" s="19" t="s">
        <v>114</v>
      </c>
      <c r="I18" s="21" t="s">
        <v>88</v>
      </c>
      <c r="J18" s="21" t="s">
        <v>86</v>
      </c>
      <c r="N18"/>
    </row>
    <row r="19" spans="1:14" x14ac:dyDescent="0.35">
      <c r="C19" s="18" t="s">
        <v>92</v>
      </c>
      <c r="D19" s="24" t="s">
        <v>480</v>
      </c>
      <c r="E19" s="19" t="s">
        <v>159</v>
      </c>
      <c r="F19" s="20">
        <f t="shared" si="0"/>
        <v>14</v>
      </c>
      <c r="G19" s="19" t="s">
        <v>110</v>
      </c>
      <c r="H19" s="19" t="s">
        <v>114</v>
      </c>
      <c r="I19" s="21" t="s">
        <v>88</v>
      </c>
      <c r="J19" s="21" t="s">
        <v>86</v>
      </c>
      <c r="N19"/>
    </row>
    <row r="20" spans="1:14" x14ac:dyDescent="0.35">
      <c r="C20" s="24" t="s">
        <v>93</v>
      </c>
      <c r="D20" s="24" t="s">
        <v>480</v>
      </c>
      <c r="E20" s="24" t="s">
        <v>369</v>
      </c>
      <c r="F20" s="25">
        <f t="shared" si="0"/>
        <v>15</v>
      </c>
      <c r="G20" s="24"/>
      <c r="H20" s="24"/>
      <c r="I20" s="26" t="s">
        <v>484</v>
      </c>
      <c r="J20" s="24" t="s">
        <v>86</v>
      </c>
      <c r="N20"/>
    </row>
    <row r="21" spans="1:14" x14ac:dyDescent="0.35">
      <c r="C21" s="18" t="s">
        <v>147</v>
      </c>
      <c r="D21" s="18"/>
      <c r="E21" s="19" t="s">
        <v>148</v>
      </c>
      <c r="F21" s="20">
        <f t="shared" si="0"/>
        <v>16</v>
      </c>
      <c r="G21" s="22" t="s">
        <v>445</v>
      </c>
      <c r="H21" s="19" t="s">
        <v>116</v>
      </c>
      <c r="I21" s="21" t="s">
        <v>88</v>
      </c>
      <c r="J21" s="21" t="s">
        <v>86</v>
      </c>
      <c r="N21"/>
    </row>
    <row r="22" spans="1:14" x14ac:dyDescent="0.35">
      <c r="C22" s="18" t="s">
        <v>149</v>
      </c>
      <c r="D22" s="18"/>
      <c r="E22" s="19" t="s">
        <v>150</v>
      </c>
      <c r="F22" s="20">
        <f t="shared" si="0"/>
        <v>17</v>
      </c>
      <c r="G22" s="19" t="s">
        <v>464</v>
      </c>
      <c r="H22" s="19" t="s">
        <v>116</v>
      </c>
      <c r="I22" s="21" t="s">
        <v>88</v>
      </c>
      <c r="J22" s="21" t="s">
        <v>86</v>
      </c>
      <c r="N22"/>
    </row>
    <row r="23" spans="1:14" x14ac:dyDescent="0.35">
      <c r="C23" s="18" t="s">
        <v>145</v>
      </c>
      <c r="D23" s="18"/>
      <c r="E23" s="19" t="s">
        <v>146</v>
      </c>
      <c r="F23" s="20">
        <f t="shared" si="0"/>
        <v>18</v>
      </c>
      <c r="G23" s="19" t="s">
        <v>439</v>
      </c>
      <c r="H23" s="19" t="s">
        <v>116</v>
      </c>
      <c r="I23" s="21" t="s">
        <v>88</v>
      </c>
      <c r="J23" s="21" t="s">
        <v>86</v>
      </c>
      <c r="N23"/>
    </row>
    <row r="24" spans="1:14" x14ac:dyDescent="0.35">
      <c r="C24" s="18" t="s">
        <v>131</v>
      </c>
      <c r="D24" s="18"/>
      <c r="E24" s="19" t="s">
        <v>132</v>
      </c>
      <c r="F24" s="20">
        <f t="shared" si="0"/>
        <v>19</v>
      </c>
      <c r="G24" s="19" t="s">
        <v>440</v>
      </c>
      <c r="H24" s="19" t="s">
        <v>116</v>
      </c>
      <c r="I24" s="21" t="s">
        <v>88</v>
      </c>
      <c r="J24" s="21" t="s">
        <v>86</v>
      </c>
      <c r="N24"/>
    </row>
    <row r="25" spans="1:14" x14ac:dyDescent="0.35">
      <c r="C25" s="18" t="s">
        <v>130</v>
      </c>
      <c r="D25" s="18"/>
      <c r="E25" s="19" t="s">
        <v>129</v>
      </c>
      <c r="F25" s="20">
        <f t="shared" si="0"/>
        <v>20</v>
      </c>
      <c r="G25" s="22" t="s">
        <v>525</v>
      </c>
      <c r="H25" s="19" t="s">
        <v>116</v>
      </c>
      <c r="I25" s="21" t="s">
        <v>88</v>
      </c>
      <c r="J25" s="21" t="s">
        <v>86</v>
      </c>
      <c r="N25"/>
    </row>
    <row r="26" spans="1:14" x14ac:dyDescent="0.35">
      <c r="C26" s="18" t="s">
        <v>65</v>
      </c>
      <c r="D26" s="18"/>
      <c r="E26" s="19" t="s">
        <v>25</v>
      </c>
      <c r="F26" s="20">
        <f t="shared" si="0"/>
        <v>21</v>
      </c>
      <c r="G26" s="19" t="s">
        <v>465</v>
      </c>
      <c r="H26" s="19" t="s">
        <v>114</v>
      </c>
      <c r="I26" s="21" t="s">
        <v>88</v>
      </c>
      <c r="J26" s="21" t="s">
        <v>86</v>
      </c>
      <c r="N26"/>
    </row>
    <row r="27" spans="1:14" x14ac:dyDescent="0.35">
      <c r="C27" s="18" t="s">
        <v>66</v>
      </c>
      <c r="D27" s="18"/>
      <c r="E27" s="19" t="s">
        <v>26</v>
      </c>
      <c r="F27" s="20">
        <f t="shared" si="0"/>
        <v>22</v>
      </c>
      <c r="G27" s="19" t="s">
        <v>441</v>
      </c>
      <c r="H27" s="19" t="s">
        <v>114</v>
      </c>
      <c r="I27" s="21" t="s">
        <v>88</v>
      </c>
      <c r="J27" s="21" t="s">
        <v>86</v>
      </c>
      <c r="N27"/>
    </row>
    <row r="28" spans="1:14" s="5" customFormat="1" x14ac:dyDescent="0.35">
      <c r="A28"/>
      <c r="B28"/>
      <c r="C28" s="10" t="s">
        <v>417</v>
      </c>
      <c r="D28" s="10"/>
      <c r="E28" s="10" t="s">
        <v>370</v>
      </c>
      <c r="F28" s="13">
        <f t="shared" si="0"/>
        <v>23</v>
      </c>
      <c r="G28" s="10" t="s">
        <v>449</v>
      </c>
      <c r="H28" s="10" t="s">
        <v>116</v>
      </c>
      <c r="I28" s="9"/>
      <c r="J28" s="10"/>
    </row>
    <row r="29" spans="1:14" s="5" customFormat="1" x14ac:dyDescent="0.35">
      <c r="A29"/>
      <c r="B29"/>
      <c r="C29" s="10" t="s">
        <v>418</v>
      </c>
      <c r="D29" s="10"/>
      <c r="E29" s="10" t="s">
        <v>371</v>
      </c>
      <c r="F29" s="13">
        <f t="shared" si="0"/>
        <v>24</v>
      </c>
      <c r="G29" s="10" t="s">
        <v>446</v>
      </c>
      <c r="H29" s="10" t="s">
        <v>116</v>
      </c>
      <c r="I29" s="9"/>
      <c r="J29" s="10"/>
    </row>
    <row r="30" spans="1:14" s="5" customFormat="1" x14ac:dyDescent="0.35">
      <c r="A30"/>
      <c r="B30"/>
      <c r="C30" s="8" t="s">
        <v>599</v>
      </c>
      <c r="D30" s="8"/>
      <c r="E30" s="8" t="s">
        <v>372</v>
      </c>
      <c r="F30" s="11">
        <f t="shared" si="0"/>
        <v>25</v>
      </c>
      <c r="G30" s="8" t="s">
        <v>526</v>
      </c>
      <c r="H30" s="8" t="s">
        <v>601</v>
      </c>
      <c r="I30" s="8" t="s">
        <v>601</v>
      </c>
      <c r="J30" s="8" t="s">
        <v>86</v>
      </c>
    </row>
    <row r="31" spans="1:14" s="5" customFormat="1" x14ac:dyDescent="0.35">
      <c r="A31"/>
      <c r="B31"/>
      <c r="C31" s="8" t="s">
        <v>600</v>
      </c>
      <c r="D31" s="8"/>
      <c r="E31" s="8" t="s">
        <v>373</v>
      </c>
      <c r="F31" s="11">
        <f t="shared" si="0"/>
        <v>26</v>
      </c>
      <c r="G31" s="8" t="s">
        <v>433</v>
      </c>
      <c r="H31" s="8" t="s">
        <v>601</v>
      </c>
      <c r="I31" s="8" t="s">
        <v>601</v>
      </c>
      <c r="J31" s="8" t="s">
        <v>86</v>
      </c>
    </row>
    <row r="32" spans="1:14" x14ac:dyDescent="0.35">
      <c r="E32" s="8" t="s">
        <v>374</v>
      </c>
      <c r="F32" s="11">
        <f t="shared" si="0"/>
        <v>27</v>
      </c>
      <c r="G32" s="8" t="s">
        <v>434</v>
      </c>
      <c r="H32" s="8" t="s">
        <v>116</v>
      </c>
      <c r="I32" s="6" t="s">
        <v>88</v>
      </c>
      <c r="J32" s="8" t="s">
        <v>86</v>
      </c>
      <c r="N32"/>
    </row>
    <row r="33" spans="1:14" x14ac:dyDescent="0.35">
      <c r="E33" s="8" t="s">
        <v>375</v>
      </c>
      <c r="F33" s="11">
        <f t="shared" si="0"/>
        <v>28</v>
      </c>
      <c r="G33" s="8" t="s">
        <v>435</v>
      </c>
      <c r="H33" s="8" t="s">
        <v>116</v>
      </c>
      <c r="I33" s="6" t="s">
        <v>88</v>
      </c>
      <c r="J33" s="8" t="s">
        <v>86</v>
      </c>
      <c r="N33"/>
    </row>
    <row r="34" spans="1:14" x14ac:dyDescent="0.35">
      <c r="E34" s="8" t="s">
        <v>376</v>
      </c>
      <c r="F34" s="11">
        <f t="shared" si="0"/>
        <v>29</v>
      </c>
      <c r="G34" s="8" t="s">
        <v>436</v>
      </c>
      <c r="H34" s="8" t="s">
        <v>116</v>
      </c>
      <c r="I34" s="6" t="s">
        <v>88</v>
      </c>
      <c r="J34" s="8" t="s">
        <v>86</v>
      </c>
      <c r="N34"/>
    </row>
    <row r="35" spans="1:14" x14ac:dyDescent="0.35">
      <c r="C35" s="8" t="s">
        <v>621</v>
      </c>
      <c r="E35" s="8" t="s">
        <v>377</v>
      </c>
      <c r="F35" s="11">
        <f t="shared" ref="F35" si="1">IF(E35="","",VALUE(RIGHT(E35,LEN(E35)-FIND("@",SUBSTITUTE(E35,".","@",3)))))</f>
        <v>30</v>
      </c>
      <c r="I35" s="6"/>
      <c r="N35"/>
    </row>
    <row r="36" spans="1:14" x14ac:dyDescent="0.35">
      <c r="C36" s="24" t="s">
        <v>428</v>
      </c>
      <c r="D36" s="24"/>
      <c r="E36" s="24" t="s">
        <v>378</v>
      </c>
      <c r="F36" s="25">
        <f t="shared" si="0"/>
        <v>31</v>
      </c>
      <c r="G36" s="24" t="s">
        <v>499</v>
      </c>
      <c r="H36" s="19" t="s">
        <v>114</v>
      </c>
      <c r="I36" s="26" t="s">
        <v>432</v>
      </c>
      <c r="J36" s="24" t="s">
        <v>86</v>
      </c>
      <c r="N36"/>
    </row>
    <row r="37" spans="1:14" x14ac:dyDescent="0.35">
      <c r="C37" s="18" t="s">
        <v>68</v>
      </c>
      <c r="D37" s="18"/>
      <c r="E37" s="19" t="s">
        <v>28</v>
      </c>
      <c r="F37" s="20">
        <f t="shared" si="0"/>
        <v>32</v>
      </c>
      <c r="G37" s="19" t="s">
        <v>442</v>
      </c>
      <c r="H37" s="19" t="s">
        <v>114</v>
      </c>
      <c r="I37" s="21" t="s">
        <v>88</v>
      </c>
      <c r="J37" s="21" t="s">
        <v>86</v>
      </c>
      <c r="N37"/>
    </row>
    <row r="38" spans="1:14" s="5" customFormat="1" x14ac:dyDescent="0.35">
      <c r="A38"/>
      <c r="B38"/>
      <c r="C38" s="18" t="s">
        <v>70</v>
      </c>
      <c r="D38" s="18"/>
      <c r="E38" s="19" t="s">
        <v>30</v>
      </c>
      <c r="F38" s="20">
        <f t="shared" si="0"/>
        <v>33</v>
      </c>
      <c r="G38" s="19" t="s">
        <v>443</v>
      </c>
      <c r="H38" s="19" t="s">
        <v>114</v>
      </c>
      <c r="I38" s="21" t="s">
        <v>88</v>
      </c>
      <c r="J38" s="21" t="s">
        <v>86</v>
      </c>
    </row>
    <row r="39" spans="1:14" s="5" customFormat="1" x14ac:dyDescent="0.35">
      <c r="A39"/>
      <c r="B39"/>
      <c r="C39" s="18" t="s">
        <v>69</v>
      </c>
      <c r="D39" s="18"/>
      <c r="E39" s="19" t="s">
        <v>29</v>
      </c>
      <c r="F39" s="20">
        <f t="shared" si="0"/>
        <v>34</v>
      </c>
      <c r="G39" s="19" t="s">
        <v>527</v>
      </c>
      <c r="H39" s="19" t="s">
        <v>114</v>
      </c>
      <c r="I39" s="21" t="s">
        <v>88</v>
      </c>
      <c r="J39" s="21" t="s">
        <v>86</v>
      </c>
    </row>
    <row r="40" spans="1:14" x14ac:dyDescent="0.35">
      <c r="C40" s="24" t="s">
        <v>592</v>
      </c>
      <c r="D40" s="24"/>
      <c r="E40" s="24" t="s">
        <v>379</v>
      </c>
      <c r="F40" s="25">
        <f t="shared" si="0"/>
        <v>35</v>
      </c>
      <c r="G40" s="24"/>
      <c r="H40" s="24" t="s">
        <v>116</v>
      </c>
      <c r="I40" s="21" t="s">
        <v>105</v>
      </c>
      <c r="J40" s="24"/>
      <c r="N40"/>
    </row>
    <row r="41" spans="1:14" s="5" customFormat="1" x14ac:dyDescent="0.35">
      <c r="A41"/>
      <c r="B41"/>
      <c r="C41" s="8" t="s">
        <v>608</v>
      </c>
      <c r="D41" s="8"/>
      <c r="E41" s="8" t="s">
        <v>380</v>
      </c>
      <c r="F41" s="11">
        <f t="shared" si="0"/>
        <v>36</v>
      </c>
      <c r="G41" s="8"/>
      <c r="H41" s="8" t="s">
        <v>114</v>
      </c>
      <c r="I41" s="7" t="s">
        <v>609</v>
      </c>
      <c r="J41" s="8"/>
    </row>
    <row r="42" spans="1:14" s="5" customFormat="1" x14ac:dyDescent="0.35">
      <c r="A42"/>
      <c r="B42"/>
      <c r="C42" s="10" t="s">
        <v>193</v>
      </c>
      <c r="D42" s="10"/>
      <c r="E42" s="10" t="s">
        <v>192</v>
      </c>
      <c r="F42" s="13">
        <f t="shared" si="0"/>
        <v>37</v>
      </c>
      <c r="G42" s="10"/>
      <c r="H42" s="10" t="s">
        <v>114</v>
      </c>
      <c r="I42" s="9"/>
      <c r="J42" s="10"/>
    </row>
    <row r="43" spans="1:14" x14ac:dyDescent="0.35">
      <c r="C43" s="18" t="s">
        <v>67</v>
      </c>
      <c r="D43" s="18"/>
      <c r="E43" s="19" t="s">
        <v>27</v>
      </c>
      <c r="F43" s="20">
        <f t="shared" si="0"/>
        <v>38</v>
      </c>
      <c r="G43" s="19" t="s">
        <v>528</v>
      </c>
      <c r="H43" s="19" t="s">
        <v>114</v>
      </c>
      <c r="I43" s="21" t="s">
        <v>88</v>
      </c>
      <c r="J43" s="21" t="s">
        <v>86</v>
      </c>
      <c r="N43"/>
    </row>
    <row r="44" spans="1:14" x14ac:dyDescent="0.35">
      <c r="C44" s="10" t="s">
        <v>195</v>
      </c>
      <c r="D44" s="10"/>
      <c r="E44" s="10" t="s">
        <v>194</v>
      </c>
      <c r="F44" s="13">
        <f t="shared" si="0"/>
        <v>39</v>
      </c>
      <c r="G44" s="10"/>
      <c r="H44" s="10" t="s">
        <v>114</v>
      </c>
      <c r="I44" s="9"/>
      <c r="J44" s="10"/>
      <c r="N44"/>
    </row>
    <row r="45" spans="1:14" x14ac:dyDescent="0.35">
      <c r="C45" s="10" t="s">
        <v>197</v>
      </c>
      <c r="D45" s="10"/>
      <c r="E45" s="10" t="s">
        <v>196</v>
      </c>
      <c r="F45" s="13">
        <f t="shared" si="0"/>
        <v>40</v>
      </c>
      <c r="G45" s="10"/>
      <c r="H45" s="10" t="s">
        <v>114</v>
      </c>
      <c r="I45" s="9"/>
      <c r="J45" s="10"/>
      <c r="N45"/>
    </row>
    <row r="46" spans="1:14" s="3" customFormat="1" x14ac:dyDescent="0.35">
      <c r="A46"/>
      <c r="B46"/>
      <c r="C46" s="10" t="s">
        <v>199</v>
      </c>
      <c r="D46" s="10"/>
      <c r="E46" s="10" t="s">
        <v>198</v>
      </c>
      <c r="F46" s="13">
        <f t="shared" si="0"/>
        <v>41</v>
      </c>
      <c r="G46" s="10"/>
      <c r="H46" s="10" t="s">
        <v>114</v>
      </c>
      <c r="I46" s="9"/>
      <c r="J46" s="10"/>
      <c r="N46" s="4"/>
    </row>
    <row r="47" spans="1:14" s="3" customFormat="1" x14ac:dyDescent="0.35">
      <c r="A47"/>
      <c r="B47"/>
      <c r="C47" s="24" t="s">
        <v>614</v>
      </c>
      <c r="D47" s="24"/>
      <c r="E47" s="24" t="s">
        <v>200</v>
      </c>
      <c r="F47" s="25">
        <f t="shared" si="0"/>
        <v>42</v>
      </c>
      <c r="G47" s="24"/>
      <c r="H47" s="24" t="s">
        <v>114</v>
      </c>
      <c r="I47" s="26" t="s">
        <v>88</v>
      </c>
      <c r="J47" s="24"/>
      <c r="N47" s="4"/>
    </row>
    <row r="48" spans="1:14" s="3" customFormat="1" x14ac:dyDescent="0.35">
      <c r="A48"/>
      <c r="B48"/>
      <c r="C48" s="10" t="s">
        <v>202</v>
      </c>
      <c r="D48" s="10"/>
      <c r="E48" s="10" t="s">
        <v>201</v>
      </c>
      <c r="F48" s="13">
        <f t="shared" si="0"/>
        <v>43</v>
      </c>
      <c r="G48" s="10"/>
      <c r="H48" s="10" t="s">
        <v>114</v>
      </c>
      <c r="I48" s="9"/>
      <c r="J48" s="10"/>
      <c r="N48" s="4"/>
    </row>
    <row r="49" spans="1:14" s="3" customFormat="1" x14ac:dyDescent="0.35">
      <c r="A49"/>
      <c r="B49"/>
      <c r="C49" s="24" t="s">
        <v>166</v>
      </c>
      <c r="D49" s="24" t="s">
        <v>480</v>
      </c>
      <c r="E49" s="19" t="s">
        <v>381</v>
      </c>
      <c r="F49" s="20">
        <f t="shared" si="0"/>
        <v>44</v>
      </c>
      <c r="G49" s="24" t="s">
        <v>529</v>
      </c>
      <c r="H49" s="24"/>
      <c r="I49" s="26" t="s">
        <v>484</v>
      </c>
      <c r="J49" s="24" t="s">
        <v>86</v>
      </c>
      <c r="N49" s="4"/>
    </row>
    <row r="50" spans="1:14" s="3" customFormat="1" x14ac:dyDescent="0.35">
      <c r="A50"/>
      <c r="B50"/>
      <c r="C50" s="24" t="s">
        <v>169</v>
      </c>
      <c r="D50" s="24" t="s">
        <v>480</v>
      </c>
      <c r="E50" s="19" t="s">
        <v>382</v>
      </c>
      <c r="F50" s="20">
        <f t="shared" si="0"/>
        <v>45</v>
      </c>
      <c r="G50" s="24" t="s">
        <v>530</v>
      </c>
      <c r="H50" s="24"/>
      <c r="I50" s="26" t="s">
        <v>484</v>
      </c>
      <c r="J50" s="24" t="s">
        <v>86</v>
      </c>
      <c r="N50" s="4"/>
    </row>
    <row r="51" spans="1:14" s="3" customFormat="1" x14ac:dyDescent="0.35">
      <c r="A51"/>
      <c r="B51"/>
      <c r="C51" s="24" t="s">
        <v>170</v>
      </c>
      <c r="D51" s="24" t="s">
        <v>480</v>
      </c>
      <c r="E51" s="19" t="s">
        <v>383</v>
      </c>
      <c r="F51" s="20">
        <f t="shared" si="0"/>
        <v>46</v>
      </c>
      <c r="G51" s="24" t="s">
        <v>531</v>
      </c>
      <c r="H51" s="24"/>
      <c r="I51" s="26" t="s">
        <v>484</v>
      </c>
      <c r="J51" s="24" t="s">
        <v>86</v>
      </c>
      <c r="N51" s="4"/>
    </row>
    <row r="52" spans="1:14" s="3" customFormat="1" x14ac:dyDescent="0.35">
      <c r="A52"/>
      <c r="B52"/>
      <c r="C52" s="24" t="s">
        <v>171</v>
      </c>
      <c r="D52" s="24" t="s">
        <v>480</v>
      </c>
      <c r="E52" s="19" t="s">
        <v>384</v>
      </c>
      <c r="F52" s="20">
        <f t="shared" si="0"/>
        <v>47</v>
      </c>
      <c r="G52" s="24" t="s">
        <v>532</v>
      </c>
      <c r="H52" s="24"/>
      <c r="I52" s="26" t="s">
        <v>519</v>
      </c>
      <c r="J52" s="24" t="s">
        <v>86</v>
      </c>
      <c r="N52" s="4"/>
    </row>
    <row r="53" spans="1:14" s="3" customFormat="1" x14ac:dyDescent="0.35">
      <c r="A53"/>
      <c r="B53"/>
      <c r="C53" s="24" t="s">
        <v>167</v>
      </c>
      <c r="D53" s="24" t="s">
        <v>480</v>
      </c>
      <c r="E53" s="19" t="s">
        <v>385</v>
      </c>
      <c r="F53" s="20">
        <f t="shared" si="0"/>
        <v>48</v>
      </c>
      <c r="G53" s="24"/>
      <c r="H53" s="24"/>
      <c r="I53" s="26" t="s">
        <v>484</v>
      </c>
      <c r="J53" s="24" t="s">
        <v>86</v>
      </c>
      <c r="N53" s="4"/>
    </row>
    <row r="54" spans="1:14" s="3" customFormat="1" x14ac:dyDescent="0.35">
      <c r="A54"/>
      <c r="B54"/>
      <c r="C54" s="24" t="s">
        <v>168</v>
      </c>
      <c r="D54" s="24" t="s">
        <v>480</v>
      </c>
      <c r="E54" s="19" t="s">
        <v>386</v>
      </c>
      <c r="F54" s="20">
        <f t="shared" si="0"/>
        <v>49</v>
      </c>
      <c r="G54" s="24"/>
      <c r="H54" s="24"/>
      <c r="I54" s="26" t="s">
        <v>484</v>
      </c>
      <c r="J54" s="24" t="s">
        <v>86</v>
      </c>
      <c r="N54" s="4"/>
    </row>
    <row r="55" spans="1:14" s="3" customFormat="1" x14ac:dyDescent="0.35">
      <c r="A55"/>
      <c r="B55"/>
      <c r="C55" s="24" t="s">
        <v>485</v>
      </c>
      <c r="D55" s="32"/>
      <c r="E55" s="24" t="s">
        <v>387</v>
      </c>
      <c r="F55" s="25">
        <f t="shared" si="0"/>
        <v>50</v>
      </c>
      <c r="G55" s="24" t="s">
        <v>500</v>
      </c>
      <c r="H55" s="24" t="s">
        <v>116</v>
      </c>
      <c r="I55" s="26"/>
      <c r="J55" s="24"/>
      <c r="N55" s="4"/>
    </row>
    <row r="56" spans="1:14" s="3" customFormat="1" x14ac:dyDescent="0.35">
      <c r="A56"/>
      <c r="B56"/>
      <c r="C56" s="24" t="s">
        <v>521</v>
      </c>
      <c r="D56" s="24"/>
      <c r="E56" s="24" t="s">
        <v>388</v>
      </c>
      <c r="F56" s="25">
        <f t="shared" si="0"/>
        <v>51</v>
      </c>
      <c r="G56" s="24"/>
      <c r="H56" s="24" t="s">
        <v>114</v>
      </c>
      <c r="I56" s="26" t="s">
        <v>484</v>
      </c>
      <c r="J56" s="24"/>
      <c r="N56" s="4"/>
    </row>
    <row r="57" spans="1:14" s="3" customFormat="1" x14ac:dyDescent="0.35">
      <c r="A57"/>
      <c r="B57"/>
      <c r="C57" s="24" t="s">
        <v>522</v>
      </c>
      <c r="D57" s="24"/>
      <c r="E57" s="24" t="s">
        <v>389</v>
      </c>
      <c r="F57" s="25">
        <f t="shared" si="0"/>
        <v>52</v>
      </c>
      <c r="G57" s="24"/>
      <c r="H57" s="24" t="s">
        <v>114</v>
      </c>
      <c r="I57" s="21" t="s">
        <v>88</v>
      </c>
      <c r="J57" s="24"/>
      <c r="N57" s="4"/>
    </row>
    <row r="58" spans="1:14" s="3" customFormat="1" x14ac:dyDescent="0.35">
      <c r="A58"/>
      <c r="B58"/>
      <c r="C58" s="24" t="s">
        <v>523</v>
      </c>
      <c r="D58" s="24"/>
      <c r="E58" s="24" t="s">
        <v>390</v>
      </c>
      <c r="F58" s="25">
        <f t="shared" si="0"/>
        <v>53</v>
      </c>
      <c r="G58" s="24"/>
      <c r="H58" s="24" t="s">
        <v>114</v>
      </c>
      <c r="I58" s="21" t="s">
        <v>88</v>
      </c>
      <c r="J58" s="24"/>
      <c r="N58" s="4"/>
    </row>
    <row r="59" spans="1:14" s="3" customFormat="1" x14ac:dyDescent="0.35">
      <c r="A59"/>
      <c r="B59"/>
      <c r="C59" s="24" t="s">
        <v>627</v>
      </c>
      <c r="D59" s="24"/>
      <c r="E59" s="24" t="s">
        <v>391</v>
      </c>
      <c r="F59" s="25">
        <f t="shared" si="0"/>
        <v>54</v>
      </c>
      <c r="G59" s="24"/>
      <c r="H59" s="24" t="s">
        <v>114</v>
      </c>
      <c r="I59" s="21" t="s">
        <v>635</v>
      </c>
      <c r="J59" s="24"/>
      <c r="N59" s="4"/>
    </row>
    <row r="60" spans="1:14" s="3" customFormat="1" x14ac:dyDescent="0.35">
      <c r="A60"/>
      <c r="B60"/>
      <c r="C60" s="24" t="s">
        <v>628</v>
      </c>
      <c r="D60" s="24"/>
      <c r="E60" s="24" t="s">
        <v>392</v>
      </c>
      <c r="F60" s="25">
        <f t="shared" si="0"/>
        <v>55</v>
      </c>
      <c r="G60" s="24"/>
      <c r="H60" s="24" t="s">
        <v>114</v>
      </c>
      <c r="I60" s="21" t="s">
        <v>636</v>
      </c>
      <c r="J60" s="24"/>
      <c r="N60" s="4"/>
    </row>
    <row r="61" spans="1:14" s="3" customFormat="1" x14ac:dyDescent="0.35">
      <c r="A61"/>
      <c r="B61"/>
      <c r="C61" s="24" t="s">
        <v>629</v>
      </c>
      <c r="D61" s="24"/>
      <c r="E61" s="24" t="s">
        <v>393</v>
      </c>
      <c r="F61" s="25">
        <f t="shared" si="0"/>
        <v>56</v>
      </c>
      <c r="G61" s="24"/>
      <c r="H61" s="24" t="s">
        <v>114</v>
      </c>
      <c r="I61" s="21" t="s">
        <v>637</v>
      </c>
      <c r="J61" s="24"/>
      <c r="N61" s="4"/>
    </row>
    <row r="62" spans="1:14" x14ac:dyDescent="0.35">
      <c r="C62" s="24" t="s">
        <v>630</v>
      </c>
      <c r="D62" s="24"/>
      <c r="E62" s="24" t="s">
        <v>394</v>
      </c>
      <c r="F62" s="25">
        <f t="shared" si="0"/>
        <v>57</v>
      </c>
      <c r="G62" s="24"/>
      <c r="H62" s="24" t="s">
        <v>114</v>
      </c>
      <c r="I62" s="21" t="s">
        <v>638</v>
      </c>
      <c r="J62" s="24"/>
    </row>
    <row r="63" spans="1:14" x14ac:dyDescent="0.35">
      <c r="C63" s="24" t="s">
        <v>631</v>
      </c>
      <c r="D63" s="24"/>
      <c r="E63" s="24" t="s">
        <v>203</v>
      </c>
      <c r="F63" s="25">
        <f t="shared" si="0"/>
        <v>58</v>
      </c>
      <c r="G63" s="24"/>
      <c r="H63" s="24" t="s">
        <v>114</v>
      </c>
      <c r="I63" s="21" t="s">
        <v>639</v>
      </c>
      <c r="J63" s="24"/>
    </row>
    <row r="64" spans="1:14" x14ac:dyDescent="0.35">
      <c r="C64" s="24" t="s">
        <v>632</v>
      </c>
      <c r="D64" s="24"/>
      <c r="E64" s="24" t="s">
        <v>204</v>
      </c>
      <c r="F64" s="25">
        <f t="shared" si="0"/>
        <v>59</v>
      </c>
      <c r="G64" s="24"/>
      <c r="H64" s="24" t="s">
        <v>114</v>
      </c>
      <c r="I64" s="21" t="s">
        <v>640</v>
      </c>
      <c r="J64" s="24"/>
    </row>
    <row r="65" spans="3:14" x14ac:dyDescent="0.35">
      <c r="C65" s="24" t="s">
        <v>633</v>
      </c>
      <c r="D65" s="24"/>
      <c r="E65" s="24" t="s">
        <v>205</v>
      </c>
      <c r="F65" s="25">
        <f t="shared" si="0"/>
        <v>60</v>
      </c>
      <c r="G65" s="24"/>
      <c r="H65" s="24" t="s">
        <v>114</v>
      </c>
      <c r="I65" s="21" t="s">
        <v>641</v>
      </c>
      <c r="J65" s="24"/>
    </row>
    <row r="66" spans="3:14" x14ac:dyDescent="0.35">
      <c r="C66" s="24" t="s">
        <v>634</v>
      </c>
      <c r="D66" s="24"/>
      <c r="E66" s="24" t="s">
        <v>206</v>
      </c>
      <c r="F66" s="25">
        <f t="shared" si="0"/>
        <v>61</v>
      </c>
      <c r="G66" s="24"/>
      <c r="H66" s="24" t="s">
        <v>114</v>
      </c>
      <c r="I66" s="21" t="s">
        <v>642</v>
      </c>
      <c r="J66" s="24"/>
    </row>
    <row r="67" spans="3:14" x14ac:dyDescent="0.35">
      <c r="E67" s="8" t="s">
        <v>207</v>
      </c>
      <c r="F67" s="11">
        <f t="shared" si="0"/>
        <v>62</v>
      </c>
    </row>
    <row r="68" spans="3:14" x14ac:dyDescent="0.35">
      <c r="E68" s="8" t="s">
        <v>208</v>
      </c>
      <c r="F68" s="11">
        <f t="shared" si="0"/>
        <v>63</v>
      </c>
    </row>
    <row r="69" spans="3:14" x14ac:dyDescent="0.35">
      <c r="E69" s="8" t="s">
        <v>209</v>
      </c>
      <c r="F69" s="11">
        <f t="shared" si="0"/>
        <v>64</v>
      </c>
      <c r="G69" s="8" t="s">
        <v>533</v>
      </c>
    </row>
    <row r="70" spans="3:14" x14ac:dyDescent="0.35">
      <c r="C70" s="8" t="s">
        <v>618</v>
      </c>
      <c r="E70" s="8" t="s">
        <v>210</v>
      </c>
      <c r="F70" s="11">
        <f t="shared" ref="F70:F133" si="2">IF(E70="","",VALUE(RIGHT(E70,LEN(E70)-FIND("@",SUBSTITUTE(E70,".","@",3)))))</f>
        <v>65</v>
      </c>
    </row>
    <row r="71" spans="3:14" x14ac:dyDescent="0.35">
      <c r="C71" s="24" t="s">
        <v>615</v>
      </c>
      <c r="D71" s="24"/>
      <c r="E71" s="24" t="s">
        <v>211</v>
      </c>
      <c r="F71" s="25">
        <f t="shared" si="2"/>
        <v>66</v>
      </c>
      <c r="G71" s="24"/>
      <c r="H71" s="24" t="s">
        <v>114</v>
      </c>
      <c r="I71" s="26" t="s">
        <v>484</v>
      </c>
      <c r="J71" s="24" t="s">
        <v>616</v>
      </c>
      <c r="N71"/>
    </row>
    <row r="72" spans="3:14" x14ac:dyDescent="0.35">
      <c r="C72" s="24" t="s">
        <v>613</v>
      </c>
      <c r="D72" s="24"/>
      <c r="E72" s="24" t="s">
        <v>212</v>
      </c>
      <c r="F72" s="25">
        <f t="shared" si="2"/>
        <v>67</v>
      </c>
      <c r="G72" s="24"/>
      <c r="H72" s="24"/>
      <c r="I72" s="26" t="s">
        <v>88</v>
      </c>
      <c r="J72" s="24" t="s">
        <v>86</v>
      </c>
      <c r="N72"/>
    </row>
    <row r="73" spans="3:14" x14ac:dyDescent="0.35">
      <c r="C73" s="24" t="s">
        <v>582</v>
      </c>
      <c r="D73" s="24"/>
      <c r="E73" s="24" t="s">
        <v>213</v>
      </c>
      <c r="F73" s="25">
        <f t="shared" si="2"/>
        <v>68</v>
      </c>
      <c r="G73" s="24"/>
      <c r="H73" s="24"/>
      <c r="I73" s="26" t="s">
        <v>88</v>
      </c>
      <c r="J73" s="24" t="s">
        <v>86</v>
      </c>
      <c r="N73"/>
    </row>
    <row r="74" spans="3:14" x14ac:dyDescent="0.35">
      <c r="C74" s="18" t="s">
        <v>60</v>
      </c>
      <c r="D74" s="18"/>
      <c r="E74" s="19" t="s">
        <v>20</v>
      </c>
      <c r="F74" s="20">
        <f t="shared" si="2"/>
        <v>69</v>
      </c>
      <c r="G74" s="19" t="s">
        <v>534</v>
      </c>
      <c r="H74" s="19" t="s">
        <v>114</v>
      </c>
      <c r="I74" s="21" t="s">
        <v>88</v>
      </c>
      <c r="J74" s="21" t="s">
        <v>86</v>
      </c>
      <c r="N74"/>
    </row>
    <row r="75" spans="3:14" x14ac:dyDescent="0.35">
      <c r="C75" s="18" t="s">
        <v>61</v>
      </c>
      <c r="D75" s="18"/>
      <c r="E75" s="19" t="s">
        <v>21</v>
      </c>
      <c r="F75" s="20">
        <f t="shared" si="2"/>
        <v>70</v>
      </c>
      <c r="G75" s="19" t="s">
        <v>535</v>
      </c>
      <c r="H75" s="19" t="s">
        <v>114</v>
      </c>
      <c r="I75" s="21" t="s">
        <v>88</v>
      </c>
      <c r="J75" s="21" t="s">
        <v>86</v>
      </c>
      <c r="N75"/>
    </row>
    <row r="76" spans="3:14" x14ac:dyDescent="0.35">
      <c r="C76" s="18" t="s">
        <v>144</v>
      </c>
      <c r="D76" s="18"/>
      <c r="E76" s="19" t="s">
        <v>111</v>
      </c>
      <c r="F76" s="20">
        <f t="shared" si="2"/>
        <v>71</v>
      </c>
      <c r="G76" s="22" t="s">
        <v>536</v>
      </c>
      <c r="H76" s="19" t="s">
        <v>116</v>
      </c>
      <c r="I76" s="23"/>
      <c r="J76" s="23"/>
      <c r="N76"/>
    </row>
    <row r="77" spans="3:14" x14ac:dyDescent="0.35">
      <c r="C77" s="10" t="s">
        <v>419</v>
      </c>
      <c r="D77" s="10"/>
      <c r="E77" s="10" t="s">
        <v>395</v>
      </c>
      <c r="F77" s="13">
        <f t="shared" si="2"/>
        <v>72</v>
      </c>
      <c r="G77" s="10"/>
      <c r="H77" s="10" t="s">
        <v>116</v>
      </c>
      <c r="I77" s="9"/>
      <c r="J77" s="10"/>
      <c r="N77"/>
    </row>
    <row r="78" spans="3:14" x14ac:dyDescent="0.35">
      <c r="C78" s="10" t="s">
        <v>420</v>
      </c>
      <c r="D78" s="10"/>
      <c r="E78" s="10" t="s">
        <v>396</v>
      </c>
      <c r="F78" s="13">
        <f t="shared" si="2"/>
        <v>73</v>
      </c>
      <c r="G78" s="10" t="s">
        <v>537</v>
      </c>
      <c r="H78" s="10" t="s">
        <v>116</v>
      </c>
      <c r="I78" s="9"/>
      <c r="J78" s="10"/>
      <c r="N78"/>
    </row>
    <row r="79" spans="3:14" x14ac:dyDescent="0.35">
      <c r="C79" s="18" t="s">
        <v>133</v>
      </c>
      <c r="D79" s="18"/>
      <c r="E79" s="19" t="s">
        <v>112</v>
      </c>
      <c r="F79" s="20">
        <f t="shared" si="2"/>
        <v>74</v>
      </c>
      <c r="G79" s="22" t="s">
        <v>538</v>
      </c>
      <c r="H79" s="19" t="s">
        <v>116</v>
      </c>
      <c r="I79" s="23"/>
      <c r="J79" s="23"/>
      <c r="N79"/>
    </row>
    <row r="80" spans="3:14" x14ac:dyDescent="0.35">
      <c r="C80" s="18" t="s">
        <v>143</v>
      </c>
      <c r="D80" s="18"/>
      <c r="E80" s="19" t="s">
        <v>135</v>
      </c>
      <c r="F80" s="20">
        <f t="shared" si="2"/>
        <v>75</v>
      </c>
      <c r="G80" s="19" t="s">
        <v>539</v>
      </c>
      <c r="H80" s="19" t="s">
        <v>116</v>
      </c>
      <c r="I80" s="23"/>
      <c r="J80" s="23"/>
      <c r="N80"/>
    </row>
    <row r="81" spans="3:14" x14ac:dyDescent="0.35">
      <c r="C81" s="10" t="s">
        <v>421</v>
      </c>
      <c r="D81" s="10"/>
      <c r="E81" s="10" t="s">
        <v>397</v>
      </c>
      <c r="F81" s="13">
        <f t="shared" si="2"/>
        <v>76</v>
      </c>
      <c r="G81" s="10"/>
      <c r="H81" s="10" t="s">
        <v>116</v>
      </c>
      <c r="I81" s="9"/>
      <c r="J81" s="10"/>
      <c r="N81"/>
    </row>
    <row r="82" spans="3:14" x14ac:dyDescent="0.35">
      <c r="C82" s="10" t="s">
        <v>422</v>
      </c>
      <c r="D82" s="10"/>
      <c r="E82" s="10" t="s">
        <v>398</v>
      </c>
      <c r="F82" s="13">
        <f t="shared" si="2"/>
        <v>77</v>
      </c>
      <c r="G82" s="10" t="s">
        <v>540</v>
      </c>
      <c r="H82" s="10" t="s">
        <v>116</v>
      </c>
      <c r="I82" s="9"/>
      <c r="J82" s="10"/>
      <c r="N82"/>
    </row>
    <row r="83" spans="3:14" x14ac:dyDescent="0.35">
      <c r="C83" s="18" t="s">
        <v>59</v>
      </c>
      <c r="D83" s="18"/>
      <c r="E83" s="19" t="s">
        <v>19</v>
      </c>
      <c r="F83" s="20">
        <f t="shared" si="2"/>
        <v>78</v>
      </c>
      <c r="G83" s="19" t="s">
        <v>541</v>
      </c>
      <c r="H83" s="19" t="s">
        <v>114</v>
      </c>
      <c r="I83" s="21" t="s">
        <v>88</v>
      </c>
      <c r="J83" s="21" t="s">
        <v>86</v>
      </c>
      <c r="N83"/>
    </row>
    <row r="84" spans="3:14" x14ac:dyDescent="0.35">
      <c r="C84" s="18" t="s">
        <v>58</v>
      </c>
      <c r="D84" s="18"/>
      <c r="E84" s="19" t="s">
        <v>18</v>
      </c>
      <c r="F84" s="20">
        <f t="shared" si="2"/>
        <v>79</v>
      </c>
      <c r="G84" s="19" t="s">
        <v>542</v>
      </c>
      <c r="H84" s="19" t="s">
        <v>114</v>
      </c>
      <c r="I84" s="21" t="s">
        <v>88</v>
      </c>
      <c r="J84" s="21" t="s">
        <v>86</v>
      </c>
      <c r="N84"/>
    </row>
    <row r="85" spans="3:14" x14ac:dyDescent="0.35">
      <c r="C85" s="24" t="s">
        <v>187</v>
      </c>
      <c r="D85" s="24" t="s">
        <v>480</v>
      </c>
      <c r="E85" s="19" t="s">
        <v>399</v>
      </c>
      <c r="F85" s="20">
        <f t="shared" si="2"/>
        <v>80</v>
      </c>
      <c r="G85" s="24" t="s">
        <v>543</v>
      </c>
      <c r="H85" s="24"/>
      <c r="I85" s="26" t="s">
        <v>88</v>
      </c>
      <c r="J85" s="21" t="s">
        <v>86</v>
      </c>
      <c r="N85"/>
    </row>
    <row r="86" spans="3:14" x14ac:dyDescent="0.35">
      <c r="C86" s="24" t="s">
        <v>165</v>
      </c>
      <c r="D86" s="24" t="s">
        <v>480</v>
      </c>
      <c r="E86" s="19" t="s">
        <v>400</v>
      </c>
      <c r="F86" s="20">
        <f t="shared" si="2"/>
        <v>81</v>
      </c>
      <c r="G86" s="24" t="s">
        <v>544</v>
      </c>
      <c r="H86" s="24"/>
      <c r="I86" s="26" t="s">
        <v>484</v>
      </c>
      <c r="J86" s="21" t="s">
        <v>86</v>
      </c>
      <c r="N86"/>
    </row>
    <row r="87" spans="3:14" x14ac:dyDescent="0.35">
      <c r="C87" s="17"/>
      <c r="D87" s="17"/>
      <c r="E87" s="15" t="s">
        <v>401</v>
      </c>
      <c r="F87" s="12">
        <f t="shared" si="2"/>
        <v>82</v>
      </c>
      <c r="G87" s="8" t="s">
        <v>545</v>
      </c>
      <c r="H87" s="16"/>
      <c r="N87"/>
    </row>
    <row r="88" spans="3:14" x14ac:dyDescent="0.35">
      <c r="C88" s="17" t="s">
        <v>589</v>
      </c>
      <c r="D88" s="17"/>
      <c r="E88" s="15" t="s">
        <v>402</v>
      </c>
      <c r="F88" s="12">
        <f t="shared" si="2"/>
        <v>83</v>
      </c>
      <c r="H88" s="16"/>
      <c r="I88" s="7" t="s">
        <v>88</v>
      </c>
      <c r="N88"/>
    </row>
    <row r="89" spans="3:14" x14ac:dyDescent="0.35">
      <c r="C89" s="17" t="s">
        <v>590</v>
      </c>
      <c r="D89" s="17"/>
      <c r="E89" s="15" t="s">
        <v>403</v>
      </c>
      <c r="F89" s="12">
        <f t="shared" si="2"/>
        <v>84</v>
      </c>
      <c r="H89" s="16"/>
      <c r="I89" s="7" t="s">
        <v>88</v>
      </c>
      <c r="N89"/>
    </row>
    <row r="90" spans="3:14" x14ac:dyDescent="0.35">
      <c r="C90" s="17" t="s">
        <v>591</v>
      </c>
      <c r="D90" s="17"/>
      <c r="E90" s="15" t="s">
        <v>404</v>
      </c>
      <c r="F90" s="12">
        <f t="shared" si="2"/>
        <v>85</v>
      </c>
      <c r="H90" s="16"/>
      <c r="I90" s="7" t="s">
        <v>88</v>
      </c>
      <c r="N90"/>
    </row>
    <row r="91" spans="3:14" x14ac:dyDescent="0.35">
      <c r="C91" s="24" t="s">
        <v>215</v>
      </c>
      <c r="D91" s="24"/>
      <c r="E91" s="24" t="s">
        <v>214</v>
      </c>
      <c r="F91" s="25">
        <f t="shared" si="2"/>
        <v>86</v>
      </c>
      <c r="G91" s="24" t="s">
        <v>546</v>
      </c>
      <c r="H91" s="24" t="s">
        <v>114</v>
      </c>
      <c r="I91" s="26"/>
      <c r="J91" s="24"/>
      <c r="N91"/>
    </row>
    <row r="92" spans="3:14" x14ac:dyDescent="0.35">
      <c r="C92" s="17"/>
      <c r="D92" s="17"/>
      <c r="E92" s="15" t="s">
        <v>405</v>
      </c>
      <c r="F92" s="12">
        <f t="shared" si="2"/>
        <v>87</v>
      </c>
      <c r="H92" s="16"/>
      <c r="N92"/>
    </row>
    <row r="93" spans="3:14" x14ac:dyDescent="0.35">
      <c r="C93" s="17"/>
      <c r="D93" s="17"/>
      <c r="E93" s="15" t="s">
        <v>406</v>
      </c>
      <c r="F93" s="12">
        <f t="shared" si="2"/>
        <v>88</v>
      </c>
      <c r="H93" s="16"/>
      <c r="N93"/>
    </row>
    <row r="94" spans="3:14" x14ac:dyDescent="0.35">
      <c r="C94" s="33" t="s">
        <v>584</v>
      </c>
      <c r="D94" s="33"/>
      <c r="E94" s="19" t="s">
        <v>407</v>
      </c>
      <c r="F94" s="20">
        <f t="shared" ref="F94" si="3">IF(E94="","",VALUE(RIGHT(E94,LEN(E94)-FIND("@",SUBSTITUTE(E94,".","@",3)))))</f>
        <v>89</v>
      </c>
      <c r="G94" s="24"/>
      <c r="H94" s="22" t="s">
        <v>114</v>
      </c>
      <c r="I94" s="26" t="s">
        <v>596</v>
      </c>
      <c r="J94" s="24" t="s">
        <v>86</v>
      </c>
      <c r="N94"/>
    </row>
    <row r="95" spans="3:14" x14ac:dyDescent="0.35">
      <c r="C95" s="33" t="s">
        <v>595</v>
      </c>
      <c r="D95" s="33"/>
      <c r="E95" s="19" t="s">
        <v>408</v>
      </c>
      <c r="F95" s="20">
        <f t="shared" si="2"/>
        <v>90</v>
      </c>
      <c r="G95" s="24"/>
      <c r="H95" s="22"/>
      <c r="I95" s="26"/>
      <c r="J95" s="24" t="s">
        <v>86</v>
      </c>
      <c r="N95"/>
    </row>
    <row r="96" spans="3:14" x14ac:dyDescent="0.35">
      <c r="C96" s="33" t="s">
        <v>583</v>
      </c>
      <c r="D96" s="33"/>
      <c r="E96" s="19" t="s">
        <v>409</v>
      </c>
      <c r="F96" s="20">
        <f t="shared" si="2"/>
        <v>91</v>
      </c>
      <c r="G96" s="24"/>
      <c r="H96" s="22" t="s">
        <v>114</v>
      </c>
      <c r="I96" s="26" t="s">
        <v>596</v>
      </c>
      <c r="J96" s="24" t="s">
        <v>86</v>
      </c>
      <c r="N96"/>
    </row>
    <row r="97" spans="3:14" x14ac:dyDescent="0.35">
      <c r="C97" s="33" t="s">
        <v>586</v>
      </c>
      <c r="D97" s="33"/>
      <c r="E97" s="19" t="s">
        <v>410</v>
      </c>
      <c r="F97" s="20">
        <f t="shared" si="2"/>
        <v>92</v>
      </c>
      <c r="G97" s="24"/>
      <c r="H97" s="22" t="s">
        <v>114</v>
      </c>
      <c r="I97" s="26" t="s">
        <v>596</v>
      </c>
      <c r="J97" s="24" t="s">
        <v>86</v>
      </c>
      <c r="N97"/>
    </row>
    <row r="98" spans="3:14" x14ac:dyDescent="0.35">
      <c r="C98" s="33" t="s">
        <v>585</v>
      </c>
      <c r="D98" s="33"/>
      <c r="E98" s="19" t="s">
        <v>411</v>
      </c>
      <c r="F98" s="20">
        <f t="shared" si="2"/>
        <v>93</v>
      </c>
      <c r="G98" s="24"/>
      <c r="H98" s="22" t="s">
        <v>114</v>
      </c>
      <c r="I98" s="26" t="s">
        <v>596</v>
      </c>
      <c r="J98" s="24" t="s">
        <v>86</v>
      </c>
      <c r="N98"/>
    </row>
    <row r="99" spans="3:14" x14ac:dyDescent="0.35">
      <c r="C99" s="33" t="s">
        <v>588</v>
      </c>
      <c r="D99" s="33"/>
      <c r="E99" s="19" t="s">
        <v>412</v>
      </c>
      <c r="F99" s="20">
        <f t="shared" si="2"/>
        <v>94</v>
      </c>
      <c r="G99" s="24"/>
      <c r="H99" s="22" t="s">
        <v>114</v>
      </c>
      <c r="I99" s="26" t="s">
        <v>596</v>
      </c>
      <c r="J99" s="24" t="s">
        <v>86</v>
      </c>
      <c r="N99"/>
    </row>
    <row r="100" spans="3:14" x14ac:dyDescent="0.35">
      <c r="C100" s="33" t="s">
        <v>587</v>
      </c>
      <c r="D100" s="33"/>
      <c r="E100" s="19" t="s">
        <v>413</v>
      </c>
      <c r="F100" s="20">
        <f t="shared" si="2"/>
        <v>95</v>
      </c>
      <c r="G100" s="24"/>
      <c r="H100" s="22" t="s">
        <v>114</v>
      </c>
      <c r="I100" s="26" t="s">
        <v>596</v>
      </c>
      <c r="J100" s="24" t="s">
        <v>86</v>
      </c>
      <c r="N100"/>
    </row>
    <row r="101" spans="3:14" x14ac:dyDescent="0.35">
      <c r="C101" s="18" t="s">
        <v>115</v>
      </c>
      <c r="D101" s="18"/>
      <c r="E101" s="19" t="s">
        <v>117</v>
      </c>
      <c r="F101" s="20">
        <f t="shared" si="2"/>
        <v>96</v>
      </c>
      <c r="G101" s="19" t="s">
        <v>450</v>
      </c>
      <c r="H101" s="19" t="s">
        <v>116</v>
      </c>
      <c r="I101" s="23"/>
      <c r="J101" s="23"/>
      <c r="N101"/>
    </row>
    <row r="102" spans="3:14" x14ac:dyDescent="0.35">
      <c r="C102" s="18" t="s">
        <v>155</v>
      </c>
      <c r="D102" s="18"/>
      <c r="E102" s="19" t="s">
        <v>118</v>
      </c>
      <c r="F102" s="20">
        <f t="shared" si="2"/>
        <v>97</v>
      </c>
      <c r="G102" s="22" t="s">
        <v>451</v>
      </c>
      <c r="H102" s="19" t="s">
        <v>116</v>
      </c>
      <c r="I102" s="23"/>
      <c r="J102" s="23"/>
      <c r="N102"/>
    </row>
    <row r="103" spans="3:14" x14ac:dyDescent="0.35">
      <c r="C103" s="18" t="s">
        <v>151</v>
      </c>
      <c r="D103" s="18"/>
      <c r="E103" s="19" t="s">
        <v>152</v>
      </c>
      <c r="F103" s="20">
        <f t="shared" si="2"/>
        <v>98</v>
      </c>
      <c r="G103" s="22" t="s">
        <v>452</v>
      </c>
      <c r="H103" s="19" t="s">
        <v>116</v>
      </c>
      <c r="I103" s="23"/>
      <c r="J103" s="23"/>
      <c r="N103"/>
    </row>
    <row r="104" spans="3:14" x14ac:dyDescent="0.35">
      <c r="C104" s="10" t="s">
        <v>427</v>
      </c>
      <c r="D104" s="10"/>
      <c r="E104" s="10" t="s">
        <v>423</v>
      </c>
      <c r="F104" s="13">
        <f t="shared" si="2"/>
        <v>99</v>
      </c>
      <c r="G104" s="10" t="s">
        <v>453</v>
      </c>
      <c r="H104" s="10" t="s">
        <v>116</v>
      </c>
      <c r="I104" s="9"/>
      <c r="J104" s="10"/>
      <c r="N104"/>
    </row>
    <row r="105" spans="3:14" x14ac:dyDescent="0.35">
      <c r="C105" s="18" t="s">
        <v>153</v>
      </c>
      <c r="D105" s="18"/>
      <c r="E105" s="19" t="s">
        <v>154</v>
      </c>
      <c r="F105" s="20">
        <f t="shared" si="2"/>
        <v>100</v>
      </c>
      <c r="G105" s="19" t="s">
        <v>454</v>
      </c>
      <c r="H105" s="19" t="s">
        <v>116</v>
      </c>
      <c r="I105" s="23"/>
      <c r="J105" s="23"/>
      <c r="N105"/>
    </row>
    <row r="106" spans="3:14" x14ac:dyDescent="0.35">
      <c r="C106" s="18" t="s">
        <v>49</v>
      </c>
      <c r="D106" s="18"/>
      <c r="E106" s="19" t="s">
        <v>9</v>
      </c>
      <c r="F106" s="20">
        <f t="shared" si="2"/>
        <v>101</v>
      </c>
      <c r="G106" s="19" t="s">
        <v>466</v>
      </c>
      <c r="H106" s="19" t="s">
        <v>114</v>
      </c>
      <c r="I106" s="21" t="s">
        <v>88</v>
      </c>
      <c r="J106" s="21" t="s">
        <v>86</v>
      </c>
      <c r="N106"/>
    </row>
    <row r="107" spans="3:14" x14ac:dyDescent="0.35">
      <c r="C107" s="18" t="s">
        <v>50</v>
      </c>
      <c r="D107" s="18"/>
      <c r="E107" s="19" t="s">
        <v>10</v>
      </c>
      <c r="F107" s="20">
        <f t="shared" si="2"/>
        <v>102</v>
      </c>
      <c r="G107" s="19" t="s">
        <v>467</v>
      </c>
      <c r="H107" s="19" t="s">
        <v>114</v>
      </c>
      <c r="I107" s="21" t="s">
        <v>88</v>
      </c>
      <c r="J107" s="21" t="s">
        <v>86</v>
      </c>
      <c r="N107"/>
    </row>
    <row r="108" spans="3:14" x14ac:dyDescent="0.35">
      <c r="C108" s="18" t="s">
        <v>51</v>
      </c>
      <c r="D108" s="18"/>
      <c r="E108" s="19" t="s">
        <v>11</v>
      </c>
      <c r="F108" s="20">
        <f t="shared" si="2"/>
        <v>103</v>
      </c>
      <c r="G108" s="19"/>
      <c r="H108" s="19" t="s">
        <v>114</v>
      </c>
      <c r="I108" s="21" t="s">
        <v>88</v>
      </c>
      <c r="J108" s="21" t="s">
        <v>86</v>
      </c>
      <c r="N108"/>
    </row>
    <row r="109" spans="3:14" x14ac:dyDescent="0.35">
      <c r="C109" s="18" t="s">
        <v>52</v>
      </c>
      <c r="D109" s="18"/>
      <c r="E109" s="19" t="s">
        <v>12</v>
      </c>
      <c r="F109" s="20">
        <f t="shared" si="2"/>
        <v>104</v>
      </c>
      <c r="G109" s="19" t="s">
        <v>468</v>
      </c>
      <c r="H109" s="19" t="s">
        <v>114</v>
      </c>
      <c r="I109" s="21" t="s">
        <v>88</v>
      </c>
      <c r="J109" s="21" t="s">
        <v>86</v>
      </c>
      <c r="N109"/>
    </row>
    <row r="110" spans="3:14" x14ac:dyDescent="0.35">
      <c r="C110" s="18" t="s">
        <v>53</v>
      </c>
      <c r="D110" s="18"/>
      <c r="E110" s="19" t="s">
        <v>13</v>
      </c>
      <c r="F110" s="20">
        <f t="shared" si="2"/>
        <v>105</v>
      </c>
      <c r="G110" s="19" t="s">
        <v>469</v>
      </c>
      <c r="H110" s="19" t="s">
        <v>114</v>
      </c>
      <c r="I110" s="21" t="s">
        <v>88</v>
      </c>
      <c r="J110" s="21" t="s">
        <v>86</v>
      </c>
      <c r="N110"/>
    </row>
    <row r="111" spans="3:14" x14ac:dyDescent="0.35">
      <c r="C111" s="18" t="s">
        <v>54</v>
      </c>
      <c r="D111" s="18"/>
      <c r="E111" s="19" t="s">
        <v>14</v>
      </c>
      <c r="F111" s="20">
        <f t="shared" si="2"/>
        <v>106</v>
      </c>
      <c r="G111" s="19"/>
      <c r="H111" s="19" t="s">
        <v>114</v>
      </c>
      <c r="I111" s="21" t="s">
        <v>88</v>
      </c>
      <c r="J111" s="21" t="s">
        <v>86</v>
      </c>
      <c r="N111"/>
    </row>
    <row r="112" spans="3:14" x14ac:dyDescent="0.35">
      <c r="C112" s="18" t="s">
        <v>119</v>
      </c>
      <c r="D112" s="18"/>
      <c r="E112" s="19" t="s">
        <v>120</v>
      </c>
      <c r="F112" s="20">
        <f t="shared" si="2"/>
        <v>107</v>
      </c>
      <c r="G112" s="19"/>
      <c r="H112" s="19" t="s">
        <v>116</v>
      </c>
      <c r="I112" s="23"/>
      <c r="J112" s="21" t="s">
        <v>86</v>
      </c>
      <c r="N112"/>
    </row>
    <row r="113" spans="3:14" x14ac:dyDescent="0.35">
      <c r="C113" s="18" t="s">
        <v>121</v>
      </c>
      <c r="D113" s="18"/>
      <c r="E113" s="19" t="s">
        <v>122</v>
      </c>
      <c r="F113" s="20">
        <f t="shared" si="2"/>
        <v>108</v>
      </c>
      <c r="G113" s="22" t="s">
        <v>470</v>
      </c>
      <c r="H113" s="19" t="s">
        <v>116</v>
      </c>
      <c r="I113" s="23"/>
      <c r="J113" s="21" t="s">
        <v>86</v>
      </c>
      <c r="N113"/>
    </row>
    <row r="114" spans="3:14" x14ac:dyDescent="0.35">
      <c r="C114" s="18" t="s">
        <v>123</v>
      </c>
      <c r="D114" s="18"/>
      <c r="E114" s="19" t="s">
        <v>124</v>
      </c>
      <c r="F114" s="20">
        <f t="shared" si="2"/>
        <v>109</v>
      </c>
      <c r="G114" s="19"/>
      <c r="H114" s="19" t="s">
        <v>116</v>
      </c>
      <c r="I114" s="23"/>
      <c r="J114" s="21" t="s">
        <v>86</v>
      </c>
      <c r="N114"/>
    </row>
    <row r="115" spans="3:14" x14ac:dyDescent="0.35">
      <c r="C115" s="18" t="s">
        <v>125</v>
      </c>
      <c r="D115" s="18"/>
      <c r="E115" s="19" t="s">
        <v>126</v>
      </c>
      <c r="F115" s="20">
        <f t="shared" si="2"/>
        <v>110</v>
      </c>
      <c r="G115" s="22" t="s">
        <v>471</v>
      </c>
      <c r="H115" s="19" t="s">
        <v>116</v>
      </c>
      <c r="I115" s="23"/>
      <c r="J115" s="21" t="s">
        <v>86</v>
      </c>
      <c r="N115"/>
    </row>
    <row r="116" spans="3:14" x14ac:dyDescent="0.35">
      <c r="C116" s="18" t="s">
        <v>127</v>
      </c>
      <c r="D116" s="18"/>
      <c r="E116" s="19" t="s">
        <v>128</v>
      </c>
      <c r="F116" s="20">
        <f t="shared" si="2"/>
        <v>111</v>
      </c>
      <c r="G116" s="22"/>
      <c r="H116" s="19" t="s">
        <v>116</v>
      </c>
      <c r="I116" s="23"/>
      <c r="J116" s="21" t="s">
        <v>86</v>
      </c>
      <c r="N116"/>
    </row>
    <row r="117" spans="3:14" x14ac:dyDescent="0.35">
      <c r="C117" s="18" t="s">
        <v>55</v>
      </c>
      <c r="D117" s="18"/>
      <c r="E117" s="19" t="s">
        <v>15</v>
      </c>
      <c r="F117" s="20">
        <f t="shared" si="2"/>
        <v>112</v>
      </c>
      <c r="G117" s="19" t="s">
        <v>447</v>
      </c>
      <c r="H117" s="19" t="s">
        <v>114</v>
      </c>
      <c r="I117" s="21" t="s">
        <v>88</v>
      </c>
      <c r="J117" s="21" t="s">
        <v>86</v>
      </c>
      <c r="N117"/>
    </row>
    <row r="118" spans="3:14" x14ac:dyDescent="0.35">
      <c r="E118" s="8" t="s">
        <v>424</v>
      </c>
      <c r="F118" s="11">
        <f t="shared" si="2"/>
        <v>113</v>
      </c>
      <c r="H118" s="8" t="s">
        <v>116</v>
      </c>
      <c r="N118"/>
    </row>
    <row r="119" spans="3:14" x14ac:dyDescent="0.35">
      <c r="E119" s="8" t="s">
        <v>425</v>
      </c>
      <c r="F119" s="11">
        <f t="shared" si="2"/>
        <v>114</v>
      </c>
      <c r="H119" s="8" t="s">
        <v>116</v>
      </c>
      <c r="N119"/>
    </row>
    <row r="120" spans="3:14" x14ac:dyDescent="0.35">
      <c r="E120" s="8" t="s">
        <v>426</v>
      </c>
      <c r="F120" s="11">
        <f t="shared" si="2"/>
        <v>115</v>
      </c>
      <c r="H120" s="8" t="s">
        <v>116</v>
      </c>
      <c r="N120"/>
    </row>
    <row r="121" spans="3:14" x14ac:dyDescent="0.35">
      <c r="C121" s="17"/>
      <c r="D121" s="17"/>
      <c r="E121" s="15" t="s">
        <v>429</v>
      </c>
      <c r="F121" s="12">
        <f t="shared" si="2"/>
        <v>116</v>
      </c>
      <c r="G121" s="16"/>
      <c r="H121" s="16"/>
      <c r="J121" s="2"/>
      <c r="N121"/>
    </row>
    <row r="122" spans="3:14" x14ac:dyDescent="0.35">
      <c r="C122" s="17"/>
      <c r="D122" s="17"/>
      <c r="E122" s="15" t="s">
        <v>430</v>
      </c>
      <c r="F122" s="12">
        <f t="shared" si="2"/>
        <v>117</v>
      </c>
      <c r="G122" s="16"/>
      <c r="H122" s="16"/>
      <c r="J122" s="2"/>
      <c r="N122"/>
    </row>
    <row r="123" spans="3:14" x14ac:dyDescent="0.35">
      <c r="C123" s="17"/>
      <c r="D123" s="17"/>
      <c r="E123" s="15" t="s">
        <v>431</v>
      </c>
      <c r="F123" s="12">
        <f t="shared" si="2"/>
        <v>118</v>
      </c>
      <c r="G123" s="16"/>
      <c r="H123" s="16"/>
      <c r="J123" s="2"/>
      <c r="N123"/>
    </row>
    <row r="124" spans="3:14" x14ac:dyDescent="0.35">
      <c r="C124" s="8" t="s">
        <v>217</v>
      </c>
      <c r="E124" s="8" t="s">
        <v>216</v>
      </c>
      <c r="F124" s="11">
        <f t="shared" si="2"/>
        <v>119</v>
      </c>
      <c r="G124" s="8" t="s">
        <v>547</v>
      </c>
      <c r="H124" s="8" t="s">
        <v>114</v>
      </c>
      <c r="N124"/>
    </row>
    <row r="125" spans="3:14" x14ac:dyDescent="0.35">
      <c r="C125" s="8" t="s">
        <v>219</v>
      </c>
      <c r="E125" s="8" t="s">
        <v>218</v>
      </c>
      <c r="F125" s="11">
        <f t="shared" si="2"/>
        <v>120</v>
      </c>
      <c r="G125" s="8" t="s">
        <v>548</v>
      </c>
      <c r="H125" s="8" t="s">
        <v>114</v>
      </c>
      <c r="N125"/>
    </row>
    <row r="126" spans="3:14" x14ac:dyDescent="0.35">
      <c r="C126" s="8" t="s">
        <v>221</v>
      </c>
      <c r="E126" s="8" t="s">
        <v>220</v>
      </c>
      <c r="F126" s="11">
        <f t="shared" si="2"/>
        <v>121</v>
      </c>
      <c r="G126" s="8" t="s">
        <v>549</v>
      </c>
      <c r="H126" s="8" t="s">
        <v>114</v>
      </c>
      <c r="N126"/>
    </row>
    <row r="127" spans="3:14" x14ac:dyDescent="0.35">
      <c r="C127" s="8" t="s">
        <v>223</v>
      </c>
      <c r="E127" s="8" t="s">
        <v>222</v>
      </c>
      <c r="F127" s="11">
        <f t="shared" si="2"/>
        <v>122</v>
      </c>
      <c r="G127" s="8" t="s">
        <v>550</v>
      </c>
      <c r="H127" s="8" t="s">
        <v>114</v>
      </c>
      <c r="N127"/>
    </row>
    <row r="128" spans="3:14" x14ac:dyDescent="0.35">
      <c r="C128" s="8" t="s">
        <v>334</v>
      </c>
      <c r="E128" s="8" t="s">
        <v>224</v>
      </c>
      <c r="F128" s="11">
        <f t="shared" si="2"/>
        <v>123</v>
      </c>
      <c r="G128" s="8" t="s">
        <v>551</v>
      </c>
      <c r="H128" s="8" t="s">
        <v>114</v>
      </c>
      <c r="N128"/>
    </row>
    <row r="129" spans="3:14" x14ac:dyDescent="0.35">
      <c r="C129" s="8" t="s">
        <v>335</v>
      </c>
      <c r="E129" s="8" t="s">
        <v>225</v>
      </c>
      <c r="F129" s="11">
        <f t="shared" si="2"/>
        <v>124</v>
      </c>
      <c r="G129" s="8" t="s">
        <v>552</v>
      </c>
      <c r="H129" s="8" t="s">
        <v>114</v>
      </c>
      <c r="N129"/>
    </row>
    <row r="130" spans="3:14" x14ac:dyDescent="0.35">
      <c r="C130" s="8" t="s">
        <v>336</v>
      </c>
      <c r="E130" s="8" t="s">
        <v>226</v>
      </c>
      <c r="F130" s="11">
        <f t="shared" si="2"/>
        <v>125</v>
      </c>
      <c r="G130" s="8" t="s">
        <v>553</v>
      </c>
      <c r="H130" s="8" t="s">
        <v>114</v>
      </c>
      <c r="N130"/>
    </row>
    <row r="131" spans="3:14" x14ac:dyDescent="0.35">
      <c r="C131" s="10" t="s">
        <v>337</v>
      </c>
      <c r="D131" s="10"/>
      <c r="E131" s="10" t="s">
        <v>227</v>
      </c>
      <c r="F131" s="13">
        <f t="shared" si="2"/>
        <v>126</v>
      </c>
      <c r="G131" s="10"/>
      <c r="H131" s="10" t="s">
        <v>114</v>
      </c>
      <c r="I131" s="9"/>
      <c r="J131" s="10"/>
      <c r="N131"/>
    </row>
    <row r="132" spans="3:14" x14ac:dyDescent="0.35">
      <c r="C132" s="10" t="s">
        <v>338</v>
      </c>
      <c r="D132" s="10"/>
      <c r="E132" s="10" t="s">
        <v>228</v>
      </c>
      <c r="F132" s="13">
        <f t="shared" si="2"/>
        <v>127</v>
      </c>
      <c r="G132" s="10"/>
      <c r="H132" s="10" t="s">
        <v>114</v>
      </c>
      <c r="I132" s="9"/>
      <c r="J132" s="10"/>
      <c r="N132"/>
    </row>
    <row r="133" spans="3:14" x14ac:dyDescent="0.35">
      <c r="C133" s="18" t="s">
        <v>62</v>
      </c>
      <c r="D133" s="18"/>
      <c r="E133" s="19" t="s">
        <v>22</v>
      </c>
      <c r="F133" s="20">
        <f t="shared" si="2"/>
        <v>128</v>
      </c>
      <c r="G133" s="19" t="s">
        <v>501</v>
      </c>
      <c r="H133" s="19" t="s">
        <v>114</v>
      </c>
      <c r="I133" s="21" t="s">
        <v>104</v>
      </c>
      <c r="J133" s="21" t="s">
        <v>86</v>
      </c>
      <c r="N133"/>
    </row>
    <row r="134" spans="3:14" x14ac:dyDescent="0.35">
      <c r="C134" s="18" t="s">
        <v>43</v>
      </c>
      <c r="D134" s="18"/>
      <c r="E134" s="19" t="s">
        <v>3</v>
      </c>
      <c r="F134" s="20">
        <f t="shared" ref="F134:F197" si="4">IF(E134="","",VALUE(RIGHT(E134,LEN(E134)-FIND("@",SUBSTITUTE(E134,".","@",3)))))</f>
        <v>129</v>
      </c>
      <c r="G134" s="19" t="s">
        <v>502</v>
      </c>
      <c r="H134" s="19" t="s">
        <v>114</v>
      </c>
      <c r="I134" s="21" t="s">
        <v>104</v>
      </c>
      <c r="J134" s="21" t="s">
        <v>86</v>
      </c>
      <c r="N134"/>
    </row>
    <row r="135" spans="3:14" x14ac:dyDescent="0.35">
      <c r="C135" s="8" t="s">
        <v>486</v>
      </c>
      <c r="E135" s="8" t="s">
        <v>229</v>
      </c>
      <c r="F135" s="11">
        <f t="shared" si="4"/>
        <v>130</v>
      </c>
      <c r="G135" s="8" t="s">
        <v>503</v>
      </c>
      <c r="H135" s="8" t="s">
        <v>114</v>
      </c>
      <c r="N135"/>
    </row>
    <row r="136" spans="3:14" x14ac:dyDescent="0.35">
      <c r="C136" s="18" t="s">
        <v>46</v>
      </c>
      <c r="D136" s="18"/>
      <c r="E136" s="19" t="s">
        <v>6</v>
      </c>
      <c r="F136" s="20">
        <f t="shared" si="4"/>
        <v>131</v>
      </c>
      <c r="G136" s="19" t="s">
        <v>504</v>
      </c>
      <c r="H136" s="19" t="s">
        <v>114</v>
      </c>
      <c r="I136" s="21" t="s">
        <v>105</v>
      </c>
      <c r="J136" s="21" t="s">
        <v>86</v>
      </c>
      <c r="N136"/>
    </row>
    <row r="137" spans="3:14" x14ac:dyDescent="0.35">
      <c r="C137" s="18" t="s">
        <v>47</v>
      </c>
      <c r="D137" s="18"/>
      <c r="E137" s="19" t="s">
        <v>7</v>
      </c>
      <c r="F137" s="20">
        <f t="shared" si="4"/>
        <v>132</v>
      </c>
      <c r="G137" s="19" t="s">
        <v>505</v>
      </c>
      <c r="H137" s="19" t="s">
        <v>114</v>
      </c>
      <c r="I137" s="21" t="s">
        <v>105</v>
      </c>
      <c r="J137" s="21" t="s">
        <v>86</v>
      </c>
      <c r="N137"/>
    </row>
    <row r="138" spans="3:14" x14ac:dyDescent="0.35">
      <c r="C138" s="18" t="s">
        <v>48</v>
      </c>
      <c r="D138" s="18"/>
      <c r="E138" s="19" t="s">
        <v>8</v>
      </c>
      <c r="F138" s="20">
        <f t="shared" si="4"/>
        <v>133</v>
      </c>
      <c r="G138" s="19" t="s">
        <v>506</v>
      </c>
      <c r="H138" s="19" t="s">
        <v>114</v>
      </c>
      <c r="I138" s="21" t="s">
        <v>105</v>
      </c>
      <c r="J138" s="21" t="s">
        <v>86</v>
      </c>
      <c r="N138"/>
    </row>
    <row r="139" spans="3:14" x14ac:dyDescent="0.35">
      <c r="C139" s="24" t="s">
        <v>597</v>
      </c>
      <c r="D139" s="24"/>
      <c r="E139" s="24" t="s">
        <v>230</v>
      </c>
      <c r="F139" s="25">
        <f t="shared" si="4"/>
        <v>134</v>
      </c>
      <c r="G139" s="24"/>
      <c r="H139" s="24" t="s">
        <v>114</v>
      </c>
      <c r="I139" s="26" t="s">
        <v>88</v>
      </c>
      <c r="J139" s="21" t="s">
        <v>86</v>
      </c>
      <c r="N139"/>
    </row>
    <row r="140" spans="3:14" x14ac:dyDescent="0.35">
      <c r="C140" s="24" t="s">
        <v>598</v>
      </c>
      <c r="D140" s="24"/>
      <c r="E140" s="24" t="s">
        <v>231</v>
      </c>
      <c r="F140" s="25">
        <f t="shared" si="4"/>
        <v>135</v>
      </c>
      <c r="G140" s="24"/>
      <c r="H140" s="24" t="s">
        <v>114</v>
      </c>
      <c r="I140" s="26" t="s">
        <v>88</v>
      </c>
      <c r="J140" s="21" t="s">
        <v>86</v>
      </c>
      <c r="N140"/>
    </row>
    <row r="141" spans="3:14" x14ac:dyDescent="0.35">
      <c r="C141" s="10" t="s">
        <v>339</v>
      </c>
      <c r="D141" s="10"/>
      <c r="E141" s="10" t="s">
        <v>232</v>
      </c>
      <c r="F141" s="13">
        <f t="shared" si="4"/>
        <v>136</v>
      </c>
      <c r="G141" s="10"/>
      <c r="H141" s="10" t="s">
        <v>114</v>
      </c>
      <c r="I141" s="9"/>
      <c r="J141" s="10"/>
      <c r="N141"/>
    </row>
    <row r="142" spans="3:14" x14ac:dyDescent="0.35">
      <c r="C142" s="10" t="s">
        <v>340</v>
      </c>
      <c r="D142" s="10"/>
      <c r="E142" s="10" t="s">
        <v>233</v>
      </c>
      <c r="F142" s="13">
        <f t="shared" si="4"/>
        <v>137</v>
      </c>
      <c r="G142" s="10"/>
      <c r="H142" s="10" t="s">
        <v>114</v>
      </c>
      <c r="I142" s="9"/>
      <c r="J142" s="10"/>
      <c r="N142"/>
    </row>
    <row r="143" spans="3:14" x14ac:dyDescent="0.35">
      <c r="C143" s="10" t="s">
        <v>341</v>
      </c>
      <c r="D143" s="10"/>
      <c r="E143" s="10" t="s">
        <v>234</v>
      </c>
      <c r="F143" s="13">
        <f t="shared" si="4"/>
        <v>138</v>
      </c>
      <c r="G143" s="10"/>
      <c r="H143" s="10" t="s">
        <v>114</v>
      </c>
      <c r="I143" s="9"/>
      <c r="J143" s="10"/>
      <c r="N143"/>
    </row>
    <row r="144" spans="3:14" x14ac:dyDescent="0.35">
      <c r="C144" s="10" t="s">
        <v>342</v>
      </c>
      <c r="D144" s="10"/>
      <c r="E144" s="10" t="s">
        <v>235</v>
      </c>
      <c r="F144" s="13">
        <f t="shared" si="4"/>
        <v>139</v>
      </c>
      <c r="G144" s="10"/>
      <c r="H144" s="10" t="s">
        <v>114</v>
      </c>
      <c r="I144" s="9"/>
      <c r="J144" s="10"/>
      <c r="N144"/>
    </row>
    <row r="145" spans="3:14" x14ac:dyDescent="0.35">
      <c r="C145" s="10" t="s">
        <v>343</v>
      </c>
      <c r="D145" s="10"/>
      <c r="E145" s="10" t="s">
        <v>236</v>
      </c>
      <c r="F145" s="13">
        <f t="shared" si="4"/>
        <v>140</v>
      </c>
      <c r="G145" s="10"/>
      <c r="H145" s="10" t="s">
        <v>114</v>
      </c>
      <c r="I145" s="9"/>
      <c r="J145" s="10"/>
      <c r="N145"/>
    </row>
    <row r="146" spans="3:14" x14ac:dyDescent="0.35">
      <c r="C146" s="10" t="s">
        <v>344</v>
      </c>
      <c r="D146" s="10"/>
      <c r="E146" s="10" t="s">
        <v>237</v>
      </c>
      <c r="F146" s="13">
        <f t="shared" si="4"/>
        <v>141</v>
      </c>
      <c r="G146" s="10"/>
      <c r="H146" s="10" t="s">
        <v>114</v>
      </c>
      <c r="I146" s="9"/>
      <c r="J146" s="10"/>
      <c r="N146"/>
    </row>
    <row r="147" spans="3:14" x14ac:dyDescent="0.35">
      <c r="C147" s="8" t="s">
        <v>345</v>
      </c>
      <c r="E147" s="8" t="s">
        <v>238</v>
      </c>
      <c r="F147" s="11">
        <f t="shared" si="4"/>
        <v>142</v>
      </c>
      <c r="G147" s="8" t="s">
        <v>455</v>
      </c>
      <c r="H147" s="8" t="s">
        <v>114</v>
      </c>
      <c r="N147"/>
    </row>
    <row r="148" spans="3:14" x14ac:dyDescent="0.35">
      <c r="C148" s="8" t="s">
        <v>346</v>
      </c>
      <c r="E148" s="8" t="s">
        <v>239</v>
      </c>
      <c r="F148" s="11">
        <f t="shared" si="4"/>
        <v>143</v>
      </c>
      <c r="G148" s="8" t="s">
        <v>456</v>
      </c>
      <c r="H148" s="8" t="s">
        <v>114</v>
      </c>
      <c r="N148"/>
    </row>
    <row r="149" spans="3:14" x14ac:dyDescent="0.35">
      <c r="C149" s="8" t="s">
        <v>347</v>
      </c>
      <c r="E149" s="8" t="s">
        <v>240</v>
      </c>
      <c r="F149" s="11">
        <f t="shared" si="4"/>
        <v>144</v>
      </c>
      <c r="G149" s="8" t="s">
        <v>457</v>
      </c>
      <c r="H149" s="8" t="s">
        <v>114</v>
      </c>
      <c r="N149"/>
    </row>
    <row r="150" spans="3:14" x14ac:dyDescent="0.35">
      <c r="C150" s="8" t="s">
        <v>348</v>
      </c>
      <c r="E150" s="8" t="s">
        <v>241</v>
      </c>
      <c r="F150" s="11">
        <f t="shared" si="4"/>
        <v>145</v>
      </c>
      <c r="H150" s="8" t="s">
        <v>114</v>
      </c>
      <c r="N150"/>
    </row>
    <row r="151" spans="3:14" x14ac:dyDescent="0.35">
      <c r="C151" s="8" t="s">
        <v>349</v>
      </c>
      <c r="E151" s="8" t="s">
        <v>242</v>
      </c>
      <c r="F151" s="11">
        <f t="shared" si="4"/>
        <v>146</v>
      </c>
      <c r="G151" s="8" t="s">
        <v>554</v>
      </c>
      <c r="H151" s="8" t="s">
        <v>114</v>
      </c>
      <c r="N151"/>
    </row>
    <row r="152" spans="3:14" x14ac:dyDescent="0.35">
      <c r="C152" s="10" t="s">
        <v>350</v>
      </c>
      <c r="D152" s="10"/>
      <c r="E152" s="10" t="s">
        <v>243</v>
      </c>
      <c r="F152" s="13">
        <f t="shared" si="4"/>
        <v>147</v>
      </c>
      <c r="G152" s="10"/>
      <c r="H152" s="10" t="s">
        <v>114</v>
      </c>
      <c r="I152" s="9"/>
      <c r="J152" s="10"/>
      <c r="N152"/>
    </row>
    <row r="153" spans="3:14" x14ac:dyDescent="0.35">
      <c r="C153" s="10" t="s">
        <v>351</v>
      </c>
      <c r="D153" s="10"/>
      <c r="E153" s="10" t="s">
        <v>244</v>
      </c>
      <c r="F153" s="13">
        <f t="shared" si="4"/>
        <v>148</v>
      </c>
      <c r="G153" s="10"/>
      <c r="H153" s="10" t="s">
        <v>114</v>
      </c>
      <c r="I153" s="9"/>
      <c r="J153" s="10"/>
      <c r="N153"/>
    </row>
    <row r="154" spans="3:14" x14ac:dyDescent="0.35">
      <c r="C154" s="8" t="s">
        <v>352</v>
      </c>
      <c r="E154" s="8" t="s">
        <v>245</v>
      </c>
      <c r="F154" s="11">
        <f t="shared" si="4"/>
        <v>149</v>
      </c>
      <c r="H154" s="8" t="s">
        <v>114</v>
      </c>
      <c r="N154"/>
    </row>
    <row r="155" spans="3:14" x14ac:dyDescent="0.35">
      <c r="C155" s="24" t="s">
        <v>487</v>
      </c>
      <c r="D155" s="24"/>
      <c r="E155" s="24" t="s">
        <v>246</v>
      </c>
      <c r="F155" s="25">
        <f t="shared" si="4"/>
        <v>150</v>
      </c>
      <c r="G155" s="24" t="s">
        <v>458</v>
      </c>
      <c r="H155" s="24" t="s">
        <v>114</v>
      </c>
      <c r="I155" s="26"/>
      <c r="J155" s="21" t="s">
        <v>86</v>
      </c>
      <c r="N155"/>
    </row>
    <row r="156" spans="3:14" x14ac:dyDescent="0.35">
      <c r="C156" s="24" t="s">
        <v>488</v>
      </c>
      <c r="D156" s="24"/>
      <c r="E156" s="24" t="s">
        <v>247</v>
      </c>
      <c r="F156" s="25">
        <f t="shared" si="4"/>
        <v>151</v>
      </c>
      <c r="G156" s="24" t="s">
        <v>507</v>
      </c>
      <c r="H156" s="24" t="s">
        <v>114</v>
      </c>
      <c r="I156" s="26"/>
      <c r="J156" s="21" t="s">
        <v>86</v>
      </c>
      <c r="N156"/>
    </row>
    <row r="157" spans="3:14" x14ac:dyDescent="0.35">
      <c r="C157" s="24" t="s">
        <v>489</v>
      </c>
      <c r="D157" s="24"/>
      <c r="E157" s="24" t="s">
        <v>248</v>
      </c>
      <c r="F157" s="25">
        <f t="shared" si="4"/>
        <v>152</v>
      </c>
      <c r="G157" s="24" t="s">
        <v>472</v>
      </c>
      <c r="H157" s="24" t="s">
        <v>114</v>
      </c>
      <c r="I157" s="21" t="s">
        <v>88</v>
      </c>
      <c r="J157" s="21" t="s">
        <v>86</v>
      </c>
      <c r="N157"/>
    </row>
    <row r="158" spans="3:14" x14ac:dyDescent="0.35">
      <c r="C158" s="18" t="s">
        <v>56</v>
      </c>
      <c r="D158" s="18"/>
      <c r="E158" s="19" t="s">
        <v>16</v>
      </c>
      <c r="F158" s="20">
        <f t="shared" si="4"/>
        <v>153</v>
      </c>
      <c r="G158" s="19" t="s">
        <v>555</v>
      </c>
      <c r="H158" s="19" t="s">
        <v>114</v>
      </c>
      <c r="I158" s="21" t="s">
        <v>88</v>
      </c>
      <c r="J158" s="21" t="s">
        <v>86</v>
      </c>
      <c r="N158"/>
    </row>
    <row r="159" spans="3:14" x14ac:dyDescent="0.35">
      <c r="C159" s="18" t="s">
        <v>57</v>
      </c>
      <c r="D159" s="18"/>
      <c r="E159" s="19" t="s">
        <v>17</v>
      </c>
      <c r="F159" s="20">
        <f t="shared" si="4"/>
        <v>154</v>
      </c>
      <c r="G159" s="19" t="s">
        <v>556</v>
      </c>
      <c r="H159" s="19" t="s">
        <v>114</v>
      </c>
      <c r="I159" s="21" t="s">
        <v>88</v>
      </c>
      <c r="J159" s="21" t="s">
        <v>86</v>
      </c>
      <c r="N159"/>
    </row>
    <row r="160" spans="3:14" x14ac:dyDescent="0.35">
      <c r="C160" s="18" t="s">
        <v>490</v>
      </c>
      <c r="D160" s="24"/>
      <c r="E160" s="24" t="s">
        <v>249</v>
      </c>
      <c r="F160" s="25">
        <f t="shared" si="4"/>
        <v>155</v>
      </c>
      <c r="G160" s="24" t="s">
        <v>557</v>
      </c>
      <c r="H160" s="24" t="s">
        <v>114</v>
      </c>
      <c r="I160" s="26"/>
      <c r="J160" s="21" t="s">
        <v>86</v>
      </c>
      <c r="N160"/>
    </row>
    <row r="161" spans="3:14" x14ac:dyDescent="0.35">
      <c r="C161" s="10" t="s">
        <v>353</v>
      </c>
      <c r="D161" s="10"/>
      <c r="E161" s="10" t="s">
        <v>250</v>
      </c>
      <c r="F161" s="13">
        <f t="shared" si="4"/>
        <v>156</v>
      </c>
      <c r="G161" s="10" t="s">
        <v>459</v>
      </c>
      <c r="H161" s="10" t="s">
        <v>114</v>
      </c>
      <c r="I161" s="9"/>
      <c r="J161" s="10"/>
      <c r="N161"/>
    </row>
    <row r="162" spans="3:14" x14ac:dyDescent="0.35">
      <c r="C162" s="10" t="s">
        <v>354</v>
      </c>
      <c r="D162" s="10"/>
      <c r="E162" s="10" t="s">
        <v>251</v>
      </c>
      <c r="F162" s="13">
        <f t="shared" si="4"/>
        <v>157</v>
      </c>
      <c r="G162" s="10"/>
      <c r="H162" s="10" t="s">
        <v>114</v>
      </c>
      <c r="I162" s="9"/>
      <c r="J162" s="10"/>
      <c r="N162"/>
    </row>
    <row r="163" spans="3:14" x14ac:dyDescent="0.35">
      <c r="C163" s="10" t="s">
        <v>355</v>
      </c>
      <c r="D163" s="10"/>
      <c r="E163" s="10" t="s">
        <v>252</v>
      </c>
      <c r="F163" s="13">
        <f t="shared" si="4"/>
        <v>158</v>
      </c>
      <c r="G163" s="10"/>
      <c r="H163" s="10" t="s">
        <v>114</v>
      </c>
      <c r="I163" s="9"/>
      <c r="J163" s="10"/>
      <c r="N163"/>
    </row>
    <row r="164" spans="3:14" x14ac:dyDescent="0.35">
      <c r="E164" s="8" t="s">
        <v>253</v>
      </c>
      <c r="F164" s="11">
        <f t="shared" si="4"/>
        <v>159</v>
      </c>
      <c r="H164" s="8" t="s">
        <v>114</v>
      </c>
      <c r="N164"/>
    </row>
    <row r="165" spans="3:14" x14ac:dyDescent="0.35">
      <c r="C165" s="8" t="s">
        <v>356</v>
      </c>
      <c r="E165" s="8" t="s">
        <v>254</v>
      </c>
      <c r="F165" s="11">
        <f t="shared" si="4"/>
        <v>160</v>
      </c>
      <c r="G165" s="8" t="s">
        <v>558</v>
      </c>
      <c r="H165" s="8" t="s">
        <v>114</v>
      </c>
      <c r="N165"/>
    </row>
    <row r="166" spans="3:14" x14ac:dyDescent="0.35">
      <c r="C166" s="8" t="s">
        <v>357</v>
      </c>
      <c r="E166" s="8" t="s">
        <v>255</v>
      </c>
      <c r="F166" s="11">
        <f t="shared" si="4"/>
        <v>161</v>
      </c>
      <c r="G166" s="8" t="s">
        <v>559</v>
      </c>
      <c r="H166" s="8" t="s">
        <v>114</v>
      </c>
      <c r="N166"/>
    </row>
    <row r="167" spans="3:14" x14ac:dyDescent="0.35">
      <c r="C167" s="8" t="s">
        <v>358</v>
      </c>
      <c r="E167" s="8" t="s">
        <v>256</v>
      </c>
      <c r="F167" s="11">
        <f t="shared" si="4"/>
        <v>162</v>
      </c>
      <c r="G167" s="8" t="s">
        <v>560</v>
      </c>
      <c r="H167" s="8" t="s">
        <v>114</v>
      </c>
      <c r="N167"/>
    </row>
    <row r="168" spans="3:14" x14ac:dyDescent="0.35">
      <c r="C168" s="8" t="s">
        <v>359</v>
      </c>
      <c r="E168" s="8" t="s">
        <v>257</v>
      </c>
      <c r="F168" s="11">
        <f t="shared" si="4"/>
        <v>163</v>
      </c>
      <c r="G168" s="8" t="s">
        <v>561</v>
      </c>
      <c r="H168" s="8" t="s">
        <v>114</v>
      </c>
      <c r="N168"/>
    </row>
    <row r="169" spans="3:14" x14ac:dyDescent="0.35">
      <c r="C169" s="8" t="s">
        <v>360</v>
      </c>
      <c r="E169" s="8" t="s">
        <v>258</v>
      </c>
      <c r="F169" s="11">
        <f t="shared" si="4"/>
        <v>164</v>
      </c>
      <c r="G169" s="8" t="s">
        <v>562</v>
      </c>
      <c r="H169" s="8" t="s">
        <v>114</v>
      </c>
      <c r="N169"/>
    </row>
    <row r="170" spans="3:14" x14ac:dyDescent="0.35">
      <c r="C170" s="8" t="s">
        <v>361</v>
      </c>
      <c r="E170" s="8" t="s">
        <v>259</v>
      </c>
      <c r="F170" s="11">
        <f t="shared" si="4"/>
        <v>165</v>
      </c>
      <c r="G170" s="8" t="s">
        <v>563</v>
      </c>
      <c r="H170" s="8" t="s">
        <v>114</v>
      </c>
      <c r="N170"/>
    </row>
    <row r="171" spans="3:14" x14ac:dyDescent="0.35">
      <c r="C171" s="8" t="s">
        <v>362</v>
      </c>
      <c r="E171" s="8" t="s">
        <v>260</v>
      </c>
      <c r="F171" s="11">
        <f t="shared" si="4"/>
        <v>166</v>
      </c>
      <c r="G171" s="8" t="s">
        <v>564</v>
      </c>
      <c r="H171" s="8" t="s">
        <v>114</v>
      </c>
      <c r="N171"/>
    </row>
    <row r="172" spans="3:14" x14ac:dyDescent="0.35">
      <c r="C172" s="8" t="s">
        <v>364</v>
      </c>
      <c r="E172" s="8" t="s">
        <v>261</v>
      </c>
      <c r="F172" s="11">
        <f t="shared" si="4"/>
        <v>167</v>
      </c>
      <c r="G172" s="8" t="s">
        <v>565</v>
      </c>
      <c r="H172" s="8" t="s">
        <v>114</v>
      </c>
      <c r="N172"/>
    </row>
    <row r="173" spans="3:14" x14ac:dyDescent="0.35">
      <c r="E173" s="8" t="s">
        <v>262</v>
      </c>
      <c r="F173" s="11">
        <f t="shared" si="4"/>
        <v>168</v>
      </c>
      <c r="H173" s="8" t="s">
        <v>114</v>
      </c>
      <c r="N173"/>
    </row>
    <row r="174" spans="3:14" x14ac:dyDescent="0.35">
      <c r="E174" s="8" t="s">
        <v>263</v>
      </c>
      <c r="F174" s="11">
        <f t="shared" si="4"/>
        <v>169</v>
      </c>
      <c r="H174" s="8" t="s">
        <v>114</v>
      </c>
      <c r="N174"/>
    </row>
    <row r="175" spans="3:14" x14ac:dyDescent="0.35">
      <c r="E175" s="8" t="s">
        <v>264</v>
      </c>
      <c r="F175" s="11">
        <f t="shared" si="4"/>
        <v>170</v>
      </c>
      <c r="H175" s="8" t="s">
        <v>114</v>
      </c>
      <c r="N175"/>
    </row>
    <row r="176" spans="3:14" x14ac:dyDescent="0.35">
      <c r="C176" s="8" t="s">
        <v>491</v>
      </c>
      <c r="E176" s="8" t="s">
        <v>265</v>
      </c>
      <c r="F176" s="11">
        <f t="shared" si="4"/>
        <v>171</v>
      </c>
      <c r="G176" s="8" t="s">
        <v>473</v>
      </c>
      <c r="H176" s="8" t="s">
        <v>114</v>
      </c>
      <c r="N176"/>
    </row>
    <row r="177" spans="3:14" x14ac:dyDescent="0.35">
      <c r="C177" s="8" t="s">
        <v>492</v>
      </c>
      <c r="E177" s="8" t="s">
        <v>266</v>
      </c>
      <c r="F177" s="11">
        <f t="shared" si="4"/>
        <v>172</v>
      </c>
      <c r="G177" s="8" t="s">
        <v>474</v>
      </c>
      <c r="H177" s="8" t="s">
        <v>114</v>
      </c>
      <c r="N177"/>
    </row>
    <row r="178" spans="3:14" x14ac:dyDescent="0.35">
      <c r="C178" s="8" t="s">
        <v>493</v>
      </c>
      <c r="E178" s="8" t="s">
        <v>267</v>
      </c>
      <c r="F178" s="11">
        <f t="shared" si="4"/>
        <v>173</v>
      </c>
      <c r="G178" s="8" t="s">
        <v>475</v>
      </c>
      <c r="H178" s="8" t="s">
        <v>114</v>
      </c>
      <c r="N178"/>
    </row>
    <row r="179" spans="3:14" x14ac:dyDescent="0.35">
      <c r="C179" s="8" t="s">
        <v>494</v>
      </c>
      <c r="E179" s="8" t="s">
        <v>268</v>
      </c>
      <c r="F179" s="11">
        <f t="shared" si="4"/>
        <v>174</v>
      </c>
      <c r="G179" s="8" t="s">
        <v>476</v>
      </c>
      <c r="H179" s="8" t="s">
        <v>114</v>
      </c>
      <c r="N179"/>
    </row>
    <row r="180" spans="3:14" x14ac:dyDescent="0.35">
      <c r="C180" s="8" t="s">
        <v>495</v>
      </c>
      <c r="E180" s="8" t="s">
        <v>269</v>
      </c>
      <c r="F180" s="11">
        <f t="shared" si="4"/>
        <v>175</v>
      </c>
      <c r="G180" s="8" t="s">
        <v>477</v>
      </c>
      <c r="H180" s="8" t="s">
        <v>114</v>
      </c>
      <c r="N180"/>
    </row>
    <row r="181" spans="3:14" x14ac:dyDescent="0.35">
      <c r="C181" s="8" t="s">
        <v>604</v>
      </c>
      <c r="E181" s="8" t="s">
        <v>270</v>
      </c>
      <c r="F181" s="11">
        <f t="shared" si="4"/>
        <v>176</v>
      </c>
      <c r="G181" s="8" t="s">
        <v>460</v>
      </c>
      <c r="H181" s="8" t="s">
        <v>114</v>
      </c>
      <c r="I181" s="7" t="s">
        <v>605</v>
      </c>
      <c r="N181"/>
    </row>
    <row r="182" spans="3:14" x14ac:dyDescent="0.35">
      <c r="C182" s="24" t="s">
        <v>602</v>
      </c>
      <c r="D182" s="24"/>
      <c r="E182" s="24" t="s">
        <v>271</v>
      </c>
      <c r="F182" s="25">
        <f t="shared" si="4"/>
        <v>177</v>
      </c>
      <c r="G182" s="24" t="s">
        <v>566</v>
      </c>
      <c r="H182" s="24" t="s">
        <v>114</v>
      </c>
      <c r="I182" s="26" t="s">
        <v>603</v>
      </c>
      <c r="J182" s="24" t="s">
        <v>86</v>
      </c>
      <c r="N182"/>
    </row>
    <row r="183" spans="3:14" x14ac:dyDescent="0.35">
      <c r="E183" s="8" t="s">
        <v>272</v>
      </c>
      <c r="F183" s="11">
        <f t="shared" si="4"/>
        <v>178</v>
      </c>
      <c r="H183" s="8" t="s">
        <v>114</v>
      </c>
      <c r="N183"/>
    </row>
    <row r="184" spans="3:14" x14ac:dyDescent="0.35">
      <c r="E184" s="8" t="s">
        <v>273</v>
      </c>
      <c r="F184" s="11">
        <f t="shared" si="4"/>
        <v>179</v>
      </c>
      <c r="H184" s="8" t="s">
        <v>114</v>
      </c>
      <c r="N184"/>
    </row>
    <row r="185" spans="3:14" x14ac:dyDescent="0.35">
      <c r="C185" s="29" t="s">
        <v>164</v>
      </c>
      <c r="D185" s="24" t="s">
        <v>480</v>
      </c>
      <c r="E185" s="19" t="s">
        <v>274</v>
      </c>
      <c r="F185" s="20">
        <f t="shared" si="4"/>
        <v>180</v>
      </c>
      <c r="G185" s="24" t="s">
        <v>437</v>
      </c>
      <c r="H185" s="24"/>
      <c r="I185" s="26" t="s">
        <v>88</v>
      </c>
      <c r="J185" s="24" t="s">
        <v>86</v>
      </c>
      <c r="N185"/>
    </row>
    <row r="186" spans="3:14" x14ac:dyDescent="0.35">
      <c r="C186" s="24" t="s">
        <v>95</v>
      </c>
      <c r="D186" s="24" t="s">
        <v>480</v>
      </c>
      <c r="E186" s="19" t="s">
        <v>275</v>
      </c>
      <c r="F186" s="20">
        <f t="shared" si="4"/>
        <v>181</v>
      </c>
      <c r="G186" s="24" t="s">
        <v>509</v>
      </c>
      <c r="H186" s="24"/>
      <c r="I186" s="26" t="s">
        <v>484</v>
      </c>
      <c r="J186" s="24" t="s">
        <v>86</v>
      </c>
      <c r="N186"/>
    </row>
    <row r="187" spans="3:14" x14ac:dyDescent="0.35">
      <c r="C187" s="24" t="s">
        <v>97</v>
      </c>
      <c r="D187" s="24" t="s">
        <v>480</v>
      </c>
      <c r="E187" s="19" t="s">
        <v>276</v>
      </c>
      <c r="F187" s="20">
        <f t="shared" si="4"/>
        <v>182</v>
      </c>
      <c r="G187" s="24" t="s">
        <v>510</v>
      </c>
      <c r="H187" s="24"/>
      <c r="I187" s="26" t="s">
        <v>484</v>
      </c>
      <c r="J187" s="24" t="s">
        <v>86</v>
      </c>
      <c r="N187"/>
    </row>
    <row r="188" spans="3:14" x14ac:dyDescent="0.35">
      <c r="C188" s="24" t="s">
        <v>99</v>
      </c>
      <c r="D188" s="24" t="s">
        <v>480</v>
      </c>
      <c r="E188" s="19" t="s">
        <v>277</v>
      </c>
      <c r="F188" s="20">
        <f t="shared" si="4"/>
        <v>183</v>
      </c>
      <c r="G188" s="24" t="s">
        <v>511</v>
      </c>
      <c r="H188" s="24"/>
      <c r="I188" s="26" t="s">
        <v>484</v>
      </c>
      <c r="J188" s="24" t="s">
        <v>86</v>
      </c>
      <c r="N188"/>
    </row>
    <row r="189" spans="3:14" x14ac:dyDescent="0.35">
      <c r="C189" s="24" t="s">
        <v>101</v>
      </c>
      <c r="D189" s="24" t="s">
        <v>480</v>
      </c>
      <c r="E189" s="19" t="s">
        <v>278</v>
      </c>
      <c r="F189" s="20">
        <f t="shared" si="4"/>
        <v>184</v>
      </c>
      <c r="G189" s="24" t="s">
        <v>512</v>
      </c>
      <c r="H189" s="24"/>
      <c r="I189" s="26" t="s">
        <v>484</v>
      </c>
      <c r="J189" s="24" t="s">
        <v>86</v>
      </c>
      <c r="N189"/>
    </row>
    <row r="190" spans="3:14" x14ac:dyDescent="0.35">
      <c r="C190" s="29" t="s">
        <v>103</v>
      </c>
      <c r="D190" s="24" t="s">
        <v>480</v>
      </c>
      <c r="E190" s="19" t="s">
        <v>279</v>
      </c>
      <c r="F190" s="20">
        <f t="shared" si="4"/>
        <v>185</v>
      </c>
      <c r="G190" s="24" t="s">
        <v>515</v>
      </c>
      <c r="H190" s="24"/>
      <c r="I190" s="26" t="s">
        <v>88</v>
      </c>
      <c r="J190" s="24" t="s">
        <v>86</v>
      </c>
      <c r="N190"/>
    </row>
    <row r="191" spans="3:14" x14ac:dyDescent="0.35">
      <c r="C191" s="29" t="s">
        <v>160</v>
      </c>
      <c r="D191" s="24" t="s">
        <v>480</v>
      </c>
      <c r="E191" s="19" t="s">
        <v>280</v>
      </c>
      <c r="F191" s="20">
        <f t="shared" si="4"/>
        <v>186</v>
      </c>
      <c r="G191" s="24" t="s">
        <v>433</v>
      </c>
      <c r="H191" s="24"/>
      <c r="I191" s="26" t="s">
        <v>88</v>
      </c>
      <c r="J191" s="24" t="s">
        <v>86</v>
      </c>
      <c r="N191"/>
    </row>
    <row r="192" spans="3:14" x14ac:dyDescent="0.35">
      <c r="C192" s="29" t="s">
        <v>161</v>
      </c>
      <c r="D192" s="24" t="s">
        <v>480</v>
      </c>
      <c r="E192" s="19" t="s">
        <v>281</v>
      </c>
      <c r="F192" s="20">
        <f t="shared" si="4"/>
        <v>187</v>
      </c>
      <c r="G192" s="24" t="s">
        <v>434</v>
      </c>
      <c r="H192" s="24"/>
      <c r="I192" s="26" t="s">
        <v>88</v>
      </c>
      <c r="J192" s="24" t="s">
        <v>86</v>
      </c>
      <c r="N192"/>
    </row>
    <row r="193" spans="3:14" x14ac:dyDescent="0.35">
      <c r="C193" s="29" t="s">
        <v>162</v>
      </c>
      <c r="D193" s="24" t="s">
        <v>480</v>
      </c>
      <c r="E193" s="19" t="s">
        <v>282</v>
      </c>
      <c r="F193" s="20">
        <f t="shared" si="4"/>
        <v>188</v>
      </c>
      <c r="G193" s="24" t="s">
        <v>435</v>
      </c>
      <c r="H193" s="24"/>
      <c r="I193" s="26" t="s">
        <v>88</v>
      </c>
      <c r="J193" s="24" t="s">
        <v>86</v>
      </c>
      <c r="N193"/>
    </row>
    <row r="194" spans="3:14" x14ac:dyDescent="0.35">
      <c r="C194" s="29" t="s">
        <v>163</v>
      </c>
      <c r="D194" s="24" t="s">
        <v>480</v>
      </c>
      <c r="E194" s="19" t="s">
        <v>283</v>
      </c>
      <c r="F194" s="20">
        <f t="shared" si="4"/>
        <v>189</v>
      </c>
      <c r="G194" s="24" t="s">
        <v>436</v>
      </c>
      <c r="H194" s="24"/>
      <c r="I194" s="26" t="s">
        <v>88</v>
      </c>
      <c r="J194" s="24" t="s">
        <v>86</v>
      </c>
      <c r="N194"/>
    </row>
    <row r="195" spans="3:14" x14ac:dyDescent="0.35">
      <c r="C195" s="24" t="s">
        <v>619</v>
      </c>
      <c r="D195" s="24"/>
      <c r="E195" s="24" t="s">
        <v>284</v>
      </c>
      <c r="F195" s="25">
        <f t="shared" si="4"/>
        <v>190</v>
      </c>
      <c r="G195" s="24" t="s">
        <v>478</v>
      </c>
      <c r="H195" s="24" t="s">
        <v>593</v>
      </c>
      <c r="I195" s="26"/>
      <c r="J195" s="24" t="s">
        <v>86</v>
      </c>
      <c r="N195"/>
    </row>
    <row r="196" spans="3:14" x14ac:dyDescent="0.35">
      <c r="C196" s="24" t="s">
        <v>620</v>
      </c>
      <c r="D196" s="24"/>
      <c r="E196" s="24" t="s">
        <v>285</v>
      </c>
      <c r="F196" s="25">
        <f t="shared" si="4"/>
        <v>191</v>
      </c>
      <c r="G196" s="24" t="s">
        <v>461</v>
      </c>
      <c r="H196" s="24" t="s">
        <v>594</v>
      </c>
      <c r="I196" s="26"/>
      <c r="J196" s="24" t="s">
        <v>86</v>
      </c>
      <c r="N196"/>
    </row>
    <row r="197" spans="3:14" x14ac:dyDescent="0.35">
      <c r="C197" s="29" t="s">
        <v>102</v>
      </c>
      <c r="D197" s="24" t="s">
        <v>480</v>
      </c>
      <c r="E197" s="24" t="s">
        <v>286</v>
      </c>
      <c r="F197" s="25">
        <f t="shared" si="4"/>
        <v>192</v>
      </c>
      <c r="G197" s="24" t="s">
        <v>518</v>
      </c>
      <c r="H197" s="24" t="s">
        <v>114</v>
      </c>
      <c r="I197" s="26" t="s">
        <v>484</v>
      </c>
      <c r="J197" s="24" t="s">
        <v>86</v>
      </c>
      <c r="N197"/>
    </row>
    <row r="198" spans="3:14" x14ac:dyDescent="0.35">
      <c r="C198" s="29" t="s">
        <v>172</v>
      </c>
      <c r="D198" s="24" t="s">
        <v>480</v>
      </c>
      <c r="E198" s="24" t="s">
        <v>287</v>
      </c>
      <c r="F198" s="25">
        <f t="shared" ref="F198:F261" si="5">IF(E198="","",VALUE(RIGHT(E198,LEN(E198)-FIND("@",SUBSTITUTE(E198,".","@",3)))))</f>
        <v>193</v>
      </c>
      <c r="G198" s="24"/>
      <c r="H198" s="24" t="s">
        <v>114</v>
      </c>
      <c r="I198" s="26" t="s">
        <v>484</v>
      </c>
      <c r="J198" s="24" t="s">
        <v>86</v>
      </c>
      <c r="N198"/>
    </row>
    <row r="199" spans="3:14" x14ac:dyDescent="0.35">
      <c r="C199" s="29" t="s">
        <v>173</v>
      </c>
      <c r="D199" s="24" t="s">
        <v>480</v>
      </c>
      <c r="E199" s="24" t="s">
        <v>288</v>
      </c>
      <c r="F199" s="25">
        <f t="shared" si="5"/>
        <v>194</v>
      </c>
      <c r="G199" s="24"/>
      <c r="H199" s="24" t="s">
        <v>114</v>
      </c>
      <c r="I199" s="26" t="s">
        <v>484</v>
      </c>
      <c r="J199" s="24" t="s">
        <v>86</v>
      </c>
      <c r="N199"/>
    </row>
    <row r="200" spans="3:14" x14ac:dyDescent="0.35">
      <c r="C200" s="29" t="s">
        <v>174</v>
      </c>
      <c r="D200" s="24" t="s">
        <v>480</v>
      </c>
      <c r="E200" s="24" t="s">
        <v>289</v>
      </c>
      <c r="F200" s="25">
        <f t="shared" si="5"/>
        <v>195</v>
      </c>
      <c r="G200" s="24"/>
      <c r="H200" s="24" t="s">
        <v>114</v>
      </c>
      <c r="I200" s="26" t="s">
        <v>484</v>
      </c>
      <c r="J200" s="24" t="s">
        <v>86</v>
      </c>
      <c r="N200"/>
    </row>
    <row r="201" spans="3:14" x14ac:dyDescent="0.35">
      <c r="C201" s="29" t="s">
        <v>175</v>
      </c>
      <c r="D201" s="24" t="s">
        <v>480</v>
      </c>
      <c r="E201" s="24" t="s">
        <v>290</v>
      </c>
      <c r="F201" s="25">
        <f t="shared" si="5"/>
        <v>196</v>
      </c>
      <c r="G201" s="24" t="s">
        <v>517</v>
      </c>
      <c r="H201" s="24" t="s">
        <v>114</v>
      </c>
      <c r="I201" s="26" t="s">
        <v>484</v>
      </c>
      <c r="J201" s="24" t="s">
        <v>86</v>
      </c>
      <c r="N201"/>
    </row>
    <row r="202" spans="3:14" x14ac:dyDescent="0.35">
      <c r="C202" s="29" t="s">
        <v>176</v>
      </c>
      <c r="D202" s="24" t="s">
        <v>480</v>
      </c>
      <c r="E202" s="24" t="s">
        <v>291</v>
      </c>
      <c r="F202" s="25">
        <f t="shared" si="5"/>
        <v>197</v>
      </c>
      <c r="G202" s="24" t="s">
        <v>516</v>
      </c>
      <c r="H202" s="24" t="s">
        <v>114</v>
      </c>
      <c r="I202" s="26" t="s">
        <v>484</v>
      </c>
      <c r="J202" s="24" t="s">
        <v>86</v>
      </c>
      <c r="N202"/>
    </row>
    <row r="203" spans="3:14" x14ac:dyDescent="0.35">
      <c r="C203" s="24" t="s">
        <v>606</v>
      </c>
      <c r="D203" s="24"/>
      <c r="E203" s="24" t="s">
        <v>292</v>
      </c>
      <c r="F203" s="25">
        <f t="shared" si="5"/>
        <v>198</v>
      </c>
      <c r="G203" s="22"/>
      <c r="H203" s="24" t="s">
        <v>593</v>
      </c>
      <c r="I203" s="26"/>
      <c r="J203" s="24" t="s">
        <v>86</v>
      </c>
      <c r="N203"/>
    </row>
    <row r="204" spans="3:14" x14ac:dyDescent="0.35">
      <c r="C204" s="24" t="s">
        <v>607</v>
      </c>
      <c r="D204" s="24"/>
      <c r="E204" s="24" t="s">
        <v>293</v>
      </c>
      <c r="F204" s="25">
        <f t="shared" si="5"/>
        <v>199</v>
      </c>
      <c r="G204" s="24"/>
      <c r="H204" s="24" t="s">
        <v>594</v>
      </c>
      <c r="I204" s="26"/>
      <c r="J204" s="24" t="s">
        <v>86</v>
      </c>
      <c r="N204"/>
    </row>
    <row r="205" spans="3:14" x14ac:dyDescent="0.35">
      <c r="C205" s="24" t="s">
        <v>363</v>
      </c>
      <c r="D205" s="24"/>
      <c r="E205" s="24" t="s">
        <v>294</v>
      </c>
      <c r="F205" s="25">
        <f t="shared" si="5"/>
        <v>200</v>
      </c>
      <c r="G205" s="24" t="s">
        <v>508</v>
      </c>
      <c r="H205" s="24" t="s">
        <v>114</v>
      </c>
      <c r="I205" s="26"/>
      <c r="J205" s="24" t="s">
        <v>86</v>
      </c>
      <c r="N205"/>
    </row>
    <row r="206" spans="3:14" x14ac:dyDescent="0.35">
      <c r="E206" s="8" t="s">
        <v>295</v>
      </c>
      <c r="F206" s="11">
        <f t="shared" si="5"/>
        <v>201</v>
      </c>
      <c r="H206" s="8" t="s">
        <v>114</v>
      </c>
      <c r="N206"/>
    </row>
    <row r="207" spans="3:14" x14ac:dyDescent="0.35">
      <c r="E207" s="8" t="s">
        <v>296</v>
      </c>
      <c r="F207" s="11">
        <f t="shared" si="5"/>
        <v>202</v>
      </c>
      <c r="H207" s="8" t="s">
        <v>114</v>
      </c>
      <c r="N207"/>
    </row>
    <row r="208" spans="3:14" x14ac:dyDescent="0.35">
      <c r="C208" s="18" t="s">
        <v>64</v>
      </c>
      <c r="D208" s="18"/>
      <c r="E208" s="19" t="s">
        <v>24</v>
      </c>
      <c r="F208" s="20">
        <f t="shared" si="5"/>
        <v>203</v>
      </c>
      <c r="G208" s="19" t="s">
        <v>567</v>
      </c>
      <c r="H208" s="19" t="s">
        <v>114</v>
      </c>
      <c r="I208" s="21" t="s">
        <v>88</v>
      </c>
      <c r="J208" s="21" t="s">
        <v>86</v>
      </c>
      <c r="N208"/>
    </row>
    <row r="209" spans="3:14" x14ac:dyDescent="0.35">
      <c r="C209" s="18" t="s">
        <v>63</v>
      </c>
      <c r="D209" s="18"/>
      <c r="E209" s="19" t="s">
        <v>23</v>
      </c>
      <c r="F209" s="20">
        <f t="shared" si="5"/>
        <v>204</v>
      </c>
      <c r="G209" s="19" t="s">
        <v>568</v>
      </c>
      <c r="H209" s="19" t="s">
        <v>114</v>
      </c>
      <c r="I209" s="21" t="s">
        <v>88</v>
      </c>
      <c r="J209" s="21" t="s">
        <v>86</v>
      </c>
      <c r="N209"/>
    </row>
    <row r="210" spans="3:14" x14ac:dyDescent="0.35">
      <c r="C210" s="18" t="s">
        <v>78</v>
      </c>
      <c r="D210" s="18"/>
      <c r="E210" s="19" t="s">
        <v>38</v>
      </c>
      <c r="F210" s="20">
        <f t="shared" si="5"/>
        <v>205</v>
      </c>
      <c r="G210" s="19" t="s">
        <v>569</v>
      </c>
      <c r="H210" s="19" t="s">
        <v>114</v>
      </c>
      <c r="I210" s="21" t="s">
        <v>88</v>
      </c>
      <c r="J210" s="21" t="s">
        <v>86</v>
      </c>
      <c r="N210"/>
    </row>
    <row r="211" spans="3:14" x14ac:dyDescent="0.35">
      <c r="C211" s="18" t="s">
        <v>76</v>
      </c>
      <c r="D211" s="18"/>
      <c r="E211" s="19" t="s">
        <v>36</v>
      </c>
      <c r="F211" s="20">
        <f t="shared" si="5"/>
        <v>206</v>
      </c>
      <c r="G211" s="19" t="s">
        <v>570</v>
      </c>
      <c r="H211" s="19" t="s">
        <v>114</v>
      </c>
      <c r="I211" s="21" t="s">
        <v>88</v>
      </c>
      <c r="J211" s="21" t="s">
        <v>86</v>
      </c>
      <c r="N211"/>
    </row>
    <row r="212" spans="3:14" x14ac:dyDescent="0.35">
      <c r="C212" s="18" t="s">
        <v>74</v>
      </c>
      <c r="D212" s="18"/>
      <c r="E212" s="19" t="s">
        <v>34</v>
      </c>
      <c r="F212" s="20">
        <f t="shared" si="5"/>
        <v>207</v>
      </c>
      <c r="G212" s="19" t="s">
        <v>571</v>
      </c>
      <c r="H212" s="19" t="s">
        <v>114</v>
      </c>
      <c r="I212" s="21" t="s">
        <v>88</v>
      </c>
      <c r="J212" s="21" t="s">
        <v>86</v>
      </c>
      <c r="N212"/>
    </row>
    <row r="213" spans="3:14" x14ac:dyDescent="0.35">
      <c r="C213" s="18" t="s">
        <v>72</v>
      </c>
      <c r="D213" s="18"/>
      <c r="E213" s="19" t="s">
        <v>32</v>
      </c>
      <c r="F213" s="20">
        <f t="shared" si="5"/>
        <v>208</v>
      </c>
      <c r="G213" s="19" t="s">
        <v>572</v>
      </c>
      <c r="H213" s="19" t="s">
        <v>114</v>
      </c>
      <c r="I213" s="21" t="s">
        <v>88</v>
      </c>
      <c r="J213" s="21" t="s">
        <v>86</v>
      </c>
      <c r="N213"/>
    </row>
    <row r="214" spans="3:14" x14ac:dyDescent="0.35">
      <c r="C214" s="18" t="s">
        <v>77</v>
      </c>
      <c r="D214" s="18"/>
      <c r="E214" s="19" t="s">
        <v>37</v>
      </c>
      <c r="F214" s="20">
        <f t="shared" si="5"/>
        <v>209</v>
      </c>
      <c r="G214" s="19" t="s">
        <v>573</v>
      </c>
      <c r="H214" s="19" t="s">
        <v>114</v>
      </c>
      <c r="I214" s="21" t="s">
        <v>88</v>
      </c>
      <c r="J214" s="21" t="s">
        <v>86</v>
      </c>
      <c r="N214"/>
    </row>
    <row r="215" spans="3:14" x14ac:dyDescent="0.35">
      <c r="C215" s="18" t="s">
        <v>75</v>
      </c>
      <c r="D215" s="18"/>
      <c r="E215" s="19" t="s">
        <v>35</v>
      </c>
      <c r="F215" s="20">
        <f t="shared" si="5"/>
        <v>210</v>
      </c>
      <c r="G215" s="19" t="s">
        <v>574</v>
      </c>
      <c r="H215" s="19" t="s">
        <v>114</v>
      </c>
      <c r="I215" s="21" t="s">
        <v>88</v>
      </c>
      <c r="J215" s="21" t="s">
        <v>86</v>
      </c>
      <c r="N215"/>
    </row>
    <row r="216" spans="3:14" x14ac:dyDescent="0.35">
      <c r="C216" s="18" t="s">
        <v>73</v>
      </c>
      <c r="D216" s="18"/>
      <c r="E216" s="19" t="s">
        <v>33</v>
      </c>
      <c r="F216" s="20">
        <f t="shared" si="5"/>
        <v>211</v>
      </c>
      <c r="G216" s="19" t="s">
        <v>575</v>
      </c>
      <c r="H216" s="19" t="s">
        <v>114</v>
      </c>
      <c r="I216" s="21" t="s">
        <v>88</v>
      </c>
      <c r="J216" s="21" t="s">
        <v>86</v>
      </c>
      <c r="N216"/>
    </row>
    <row r="217" spans="3:14" x14ac:dyDescent="0.35">
      <c r="C217" s="18" t="s">
        <v>82</v>
      </c>
      <c r="D217" s="18"/>
      <c r="E217" s="19" t="s">
        <v>42</v>
      </c>
      <c r="F217" s="20">
        <f t="shared" si="5"/>
        <v>212</v>
      </c>
      <c r="G217" s="19" t="s">
        <v>576</v>
      </c>
      <c r="H217" s="19" t="s">
        <v>114</v>
      </c>
      <c r="I217" s="21" t="s">
        <v>88</v>
      </c>
      <c r="J217" s="21" t="s">
        <v>86</v>
      </c>
      <c r="N217"/>
    </row>
    <row r="218" spans="3:14" x14ac:dyDescent="0.35">
      <c r="C218" s="18" t="s">
        <v>81</v>
      </c>
      <c r="D218" s="18"/>
      <c r="E218" s="19" t="s">
        <v>41</v>
      </c>
      <c r="F218" s="20">
        <f t="shared" si="5"/>
        <v>213</v>
      </c>
      <c r="G218" s="19" t="s">
        <v>577</v>
      </c>
      <c r="H218" s="19" t="s">
        <v>114</v>
      </c>
      <c r="I218" s="21" t="s">
        <v>88</v>
      </c>
      <c r="J218" s="21" t="s">
        <v>86</v>
      </c>
      <c r="N218"/>
    </row>
    <row r="219" spans="3:14" x14ac:dyDescent="0.35">
      <c r="C219" s="18" t="s">
        <v>71</v>
      </c>
      <c r="D219" s="18"/>
      <c r="E219" s="19" t="s">
        <v>31</v>
      </c>
      <c r="F219" s="20">
        <f t="shared" si="5"/>
        <v>214</v>
      </c>
      <c r="G219" s="19" t="s">
        <v>578</v>
      </c>
      <c r="H219" s="19" t="s">
        <v>114</v>
      </c>
      <c r="I219" s="21" t="s">
        <v>88</v>
      </c>
      <c r="J219" s="21" t="s">
        <v>86</v>
      </c>
      <c r="N219"/>
    </row>
    <row r="220" spans="3:14" x14ac:dyDescent="0.35">
      <c r="C220" s="18" t="s">
        <v>44</v>
      </c>
      <c r="D220" s="18"/>
      <c r="E220" s="19" t="s">
        <v>4</v>
      </c>
      <c r="F220" s="20">
        <f t="shared" si="5"/>
        <v>215</v>
      </c>
      <c r="G220" s="19" t="s">
        <v>579</v>
      </c>
      <c r="H220" s="19" t="s">
        <v>114</v>
      </c>
      <c r="I220" s="21" t="s">
        <v>88</v>
      </c>
      <c r="J220" s="21" t="s">
        <v>86</v>
      </c>
      <c r="N220"/>
    </row>
    <row r="221" spans="3:14" x14ac:dyDescent="0.35">
      <c r="C221" s="18" t="s">
        <v>45</v>
      </c>
      <c r="D221" s="18"/>
      <c r="E221" s="19" t="s">
        <v>5</v>
      </c>
      <c r="F221" s="20">
        <f t="shared" si="5"/>
        <v>216</v>
      </c>
      <c r="G221" s="19"/>
      <c r="H221" s="19" t="s">
        <v>114</v>
      </c>
      <c r="I221" s="21" t="s">
        <v>88</v>
      </c>
      <c r="J221" s="21" t="s">
        <v>86</v>
      </c>
      <c r="N221"/>
    </row>
    <row r="222" spans="3:14" x14ac:dyDescent="0.35">
      <c r="C222" s="18" t="s">
        <v>80</v>
      </c>
      <c r="D222" s="18"/>
      <c r="E222" s="19" t="s">
        <v>40</v>
      </c>
      <c r="F222" s="20">
        <f t="shared" si="5"/>
        <v>217</v>
      </c>
      <c r="G222" s="19" t="s">
        <v>580</v>
      </c>
      <c r="H222" s="19" t="s">
        <v>114</v>
      </c>
      <c r="I222" s="21" t="s">
        <v>88</v>
      </c>
      <c r="J222" s="21" t="s">
        <v>86</v>
      </c>
      <c r="N222"/>
    </row>
    <row r="223" spans="3:14" x14ac:dyDescent="0.35">
      <c r="C223" s="18" t="s">
        <v>79</v>
      </c>
      <c r="D223" s="18"/>
      <c r="E223" s="19" t="s">
        <v>39</v>
      </c>
      <c r="F223" s="20">
        <f t="shared" si="5"/>
        <v>218</v>
      </c>
      <c r="G223" s="19" t="s">
        <v>581</v>
      </c>
      <c r="H223" s="19" t="s">
        <v>114</v>
      </c>
      <c r="I223" s="21" t="s">
        <v>88</v>
      </c>
      <c r="J223" s="21" t="s">
        <v>86</v>
      </c>
      <c r="N223"/>
    </row>
    <row r="224" spans="3:14" x14ac:dyDescent="0.35">
      <c r="C224" s="17"/>
      <c r="D224" s="17"/>
      <c r="E224" s="15" t="s">
        <v>297</v>
      </c>
      <c r="F224" s="12">
        <f t="shared" si="5"/>
        <v>219</v>
      </c>
      <c r="G224" s="16"/>
      <c r="H224" s="16"/>
      <c r="J224" s="2"/>
      <c r="N224"/>
    </row>
    <row r="225" spans="3:14" x14ac:dyDescent="0.35">
      <c r="C225" s="17"/>
      <c r="D225" s="17"/>
      <c r="E225" s="15" t="s">
        <v>298</v>
      </c>
      <c r="F225" s="12">
        <f t="shared" si="5"/>
        <v>220</v>
      </c>
      <c r="G225" s="16"/>
      <c r="H225" s="16"/>
      <c r="J225" s="2"/>
      <c r="N225"/>
    </row>
    <row r="226" spans="3:14" x14ac:dyDescent="0.35">
      <c r="C226" s="24" t="s">
        <v>94</v>
      </c>
      <c r="D226" s="24" t="s">
        <v>480</v>
      </c>
      <c r="E226" s="19" t="s">
        <v>299</v>
      </c>
      <c r="F226" s="20">
        <f t="shared" si="5"/>
        <v>221</v>
      </c>
      <c r="G226" s="22"/>
      <c r="H226" s="19" t="s">
        <v>114</v>
      </c>
      <c r="I226" s="21" t="s">
        <v>88</v>
      </c>
      <c r="J226" s="27" t="s">
        <v>86</v>
      </c>
      <c r="N226"/>
    </row>
    <row r="227" spans="3:14" x14ac:dyDescent="0.35">
      <c r="C227" s="24" t="s">
        <v>96</v>
      </c>
      <c r="D227" s="24" t="s">
        <v>480</v>
      </c>
      <c r="E227" s="19" t="s">
        <v>300</v>
      </c>
      <c r="F227" s="20">
        <f t="shared" si="5"/>
        <v>222</v>
      </c>
      <c r="G227" s="22" t="s">
        <v>481</v>
      </c>
      <c r="H227" s="19" t="s">
        <v>114</v>
      </c>
      <c r="I227" s="21" t="s">
        <v>88</v>
      </c>
      <c r="J227" s="27" t="s">
        <v>86</v>
      </c>
      <c r="N227"/>
    </row>
    <row r="228" spans="3:14" x14ac:dyDescent="0.35">
      <c r="C228" s="24" t="s">
        <v>98</v>
      </c>
      <c r="D228" s="24" t="s">
        <v>480</v>
      </c>
      <c r="E228" s="19" t="s">
        <v>301</v>
      </c>
      <c r="F228" s="20">
        <f t="shared" si="5"/>
        <v>223</v>
      </c>
      <c r="G228" s="22" t="s">
        <v>482</v>
      </c>
      <c r="H228" s="19" t="s">
        <v>114</v>
      </c>
      <c r="I228" s="21" t="s">
        <v>88</v>
      </c>
      <c r="J228" s="27" t="s">
        <v>86</v>
      </c>
      <c r="N228"/>
    </row>
    <row r="229" spans="3:14" x14ac:dyDescent="0.35">
      <c r="C229" s="24" t="s">
        <v>100</v>
      </c>
      <c r="D229" s="24" t="s">
        <v>480</v>
      </c>
      <c r="E229" s="19" t="s">
        <v>302</v>
      </c>
      <c r="F229" s="20">
        <f t="shared" si="5"/>
        <v>224</v>
      </c>
      <c r="G229" s="22" t="s">
        <v>483</v>
      </c>
      <c r="H229" s="19" t="s">
        <v>114</v>
      </c>
      <c r="I229" s="21" t="s">
        <v>88</v>
      </c>
      <c r="J229" s="27" t="s">
        <v>86</v>
      </c>
      <c r="N229"/>
    </row>
    <row r="230" spans="3:14" x14ac:dyDescent="0.35">
      <c r="C230" s="29" t="s">
        <v>177</v>
      </c>
      <c r="D230" s="24" t="s">
        <v>480</v>
      </c>
      <c r="E230" s="19" t="s">
        <v>303</v>
      </c>
      <c r="F230" s="20">
        <f t="shared" si="5"/>
        <v>225</v>
      </c>
      <c r="G230" s="22"/>
      <c r="H230" s="22"/>
      <c r="I230" s="26" t="s">
        <v>484</v>
      </c>
      <c r="J230" s="27" t="s">
        <v>86</v>
      </c>
      <c r="N230"/>
    </row>
    <row r="231" spans="3:14" x14ac:dyDescent="0.35">
      <c r="C231" s="29" t="s">
        <v>178</v>
      </c>
      <c r="D231" s="24" t="s">
        <v>480</v>
      </c>
      <c r="E231" s="19" t="s">
        <v>304</v>
      </c>
      <c r="F231" s="20">
        <f t="shared" si="5"/>
        <v>226</v>
      </c>
      <c r="G231" s="22"/>
      <c r="H231" s="22"/>
      <c r="I231" s="26" t="s">
        <v>484</v>
      </c>
      <c r="J231" s="27" t="s">
        <v>86</v>
      </c>
      <c r="N231"/>
    </row>
    <row r="232" spans="3:14" x14ac:dyDescent="0.35">
      <c r="C232" s="29" t="s">
        <v>179</v>
      </c>
      <c r="D232" s="24" t="s">
        <v>480</v>
      </c>
      <c r="E232" s="19" t="s">
        <v>305</v>
      </c>
      <c r="F232" s="20">
        <f t="shared" si="5"/>
        <v>227</v>
      </c>
      <c r="G232" s="22"/>
      <c r="H232" s="22"/>
      <c r="I232" s="26" t="s">
        <v>484</v>
      </c>
      <c r="J232" s="27" t="s">
        <v>86</v>
      </c>
      <c r="N232"/>
    </row>
    <row r="233" spans="3:14" x14ac:dyDescent="0.35">
      <c r="C233" s="29" t="s">
        <v>180</v>
      </c>
      <c r="D233" s="24" t="s">
        <v>480</v>
      </c>
      <c r="E233" s="19" t="s">
        <v>306</v>
      </c>
      <c r="F233" s="20">
        <f t="shared" si="5"/>
        <v>228</v>
      </c>
      <c r="G233" s="22"/>
      <c r="H233" s="22"/>
      <c r="I233" s="26" t="s">
        <v>484</v>
      </c>
      <c r="J233" s="27" t="s">
        <v>86</v>
      </c>
      <c r="N233"/>
    </row>
    <row r="234" spans="3:14" x14ac:dyDescent="0.35">
      <c r="C234" s="29" t="s">
        <v>181</v>
      </c>
      <c r="D234" s="24" t="s">
        <v>480</v>
      </c>
      <c r="E234" s="19" t="s">
        <v>307</v>
      </c>
      <c r="F234" s="20">
        <f t="shared" si="5"/>
        <v>229</v>
      </c>
      <c r="G234" s="22"/>
      <c r="H234" s="22"/>
      <c r="I234" s="26" t="s">
        <v>484</v>
      </c>
      <c r="J234" s="27" t="s">
        <v>86</v>
      </c>
      <c r="N234"/>
    </row>
    <row r="235" spans="3:14" x14ac:dyDescent="0.35">
      <c r="C235" s="29" t="s">
        <v>182</v>
      </c>
      <c r="D235" s="24" t="s">
        <v>480</v>
      </c>
      <c r="E235" s="19" t="s">
        <v>308</v>
      </c>
      <c r="F235" s="20">
        <f t="shared" si="5"/>
        <v>230</v>
      </c>
      <c r="G235" s="22"/>
      <c r="H235" s="22"/>
      <c r="I235" s="26" t="s">
        <v>484</v>
      </c>
      <c r="J235" s="27" t="s">
        <v>86</v>
      </c>
      <c r="N235"/>
    </row>
    <row r="236" spans="3:14" x14ac:dyDescent="0.35">
      <c r="C236" s="29" t="s">
        <v>183</v>
      </c>
      <c r="D236" s="24" t="s">
        <v>480</v>
      </c>
      <c r="E236" s="19" t="s">
        <v>309</v>
      </c>
      <c r="F236" s="20">
        <f t="shared" si="5"/>
        <v>231</v>
      </c>
      <c r="G236" s="22"/>
      <c r="H236" s="22"/>
      <c r="I236" s="26" t="s">
        <v>484</v>
      </c>
      <c r="J236" s="27" t="s">
        <v>86</v>
      </c>
      <c r="N236"/>
    </row>
    <row r="237" spans="3:14" x14ac:dyDescent="0.35">
      <c r="C237" s="29" t="s">
        <v>184</v>
      </c>
      <c r="D237" s="24" t="s">
        <v>480</v>
      </c>
      <c r="E237" s="19" t="s">
        <v>310</v>
      </c>
      <c r="F237" s="20">
        <f t="shared" si="5"/>
        <v>232</v>
      </c>
      <c r="G237" s="22"/>
      <c r="H237" s="22"/>
      <c r="I237" s="26" t="s">
        <v>484</v>
      </c>
      <c r="J237" s="27" t="s">
        <v>86</v>
      </c>
      <c r="N237"/>
    </row>
    <row r="238" spans="3:14" x14ac:dyDescent="0.35">
      <c r="C238" s="29" t="s">
        <v>185</v>
      </c>
      <c r="D238" s="24" t="s">
        <v>480</v>
      </c>
      <c r="E238" s="19" t="s">
        <v>311</v>
      </c>
      <c r="F238" s="20">
        <f t="shared" si="5"/>
        <v>233</v>
      </c>
      <c r="G238" s="22"/>
      <c r="H238" s="22"/>
      <c r="I238" s="26" t="s">
        <v>484</v>
      </c>
      <c r="J238" s="27" t="s">
        <v>86</v>
      </c>
      <c r="N238"/>
    </row>
    <row r="239" spans="3:14" x14ac:dyDescent="0.35">
      <c r="C239" s="29" t="s">
        <v>186</v>
      </c>
      <c r="D239" s="24" t="s">
        <v>480</v>
      </c>
      <c r="E239" s="19" t="s">
        <v>312</v>
      </c>
      <c r="F239" s="20">
        <f t="shared" si="5"/>
        <v>234</v>
      </c>
      <c r="G239" s="22"/>
      <c r="H239" s="22"/>
      <c r="I239" s="26" t="s">
        <v>484</v>
      </c>
      <c r="J239" s="27" t="s">
        <v>86</v>
      </c>
      <c r="N239"/>
    </row>
    <row r="240" spans="3:14" x14ac:dyDescent="0.35">
      <c r="C240" s="8" t="s">
        <v>514</v>
      </c>
      <c r="E240" s="15" t="s">
        <v>313</v>
      </c>
      <c r="F240" s="12">
        <f t="shared" si="5"/>
        <v>235</v>
      </c>
      <c r="N240"/>
    </row>
    <row r="241" spans="3:14" x14ac:dyDescent="0.35">
      <c r="C241" s="8" t="s">
        <v>513</v>
      </c>
      <c r="E241" s="15" t="s">
        <v>314</v>
      </c>
      <c r="F241" s="12">
        <f t="shared" si="5"/>
        <v>236</v>
      </c>
      <c r="N241"/>
    </row>
    <row r="242" spans="3:14" x14ac:dyDescent="0.35">
      <c r="C242" s="8" t="s">
        <v>625</v>
      </c>
      <c r="E242" s="15" t="s">
        <v>315</v>
      </c>
      <c r="F242" s="12">
        <f t="shared" si="5"/>
        <v>237</v>
      </c>
      <c r="N242"/>
    </row>
    <row r="243" spans="3:14" x14ac:dyDescent="0.35">
      <c r="C243" s="8" t="s">
        <v>624</v>
      </c>
      <c r="E243" s="15" t="s">
        <v>316</v>
      </c>
      <c r="F243" s="12">
        <f t="shared" si="5"/>
        <v>238</v>
      </c>
      <c r="N243"/>
    </row>
    <row r="244" spans="3:14" x14ac:dyDescent="0.35">
      <c r="C244" s="17" t="s">
        <v>626</v>
      </c>
      <c r="D244" s="17"/>
      <c r="E244" s="15" t="s">
        <v>317</v>
      </c>
      <c r="F244" s="12">
        <f t="shared" si="5"/>
        <v>239</v>
      </c>
      <c r="G244" s="16"/>
      <c r="H244" s="16"/>
      <c r="J244" s="2"/>
      <c r="N244"/>
    </row>
    <row r="245" spans="3:14" x14ac:dyDescent="0.35">
      <c r="C245" s="17"/>
      <c r="D245" s="17"/>
      <c r="E245" s="15" t="s">
        <v>318</v>
      </c>
      <c r="F245" s="12">
        <f t="shared" si="5"/>
        <v>240</v>
      </c>
      <c r="G245" s="16"/>
      <c r="H245" s="16"/>
      <c r="J245" s="2"/>
      <c r="N245"/>
    </row>
    <row r="246" spans="3:14" x14ac:dyDescent="0.35">
      <c r="C246" s="8" t="s">
        <v>622</v>
      </c>
      <c r="E246" s="15" t="s">
        <v>319</v>
      </c>
      <c r="F246" s="12">
        <f t="shared" si="5"/>
        <v>241</v>
      </c>
      <c r="N246"/>
    </row>
    <row r="247" spans="3:14" x14ac:dyDescent="0.35">
      <c r="C247" s="17"/>
      <c r="D247" s="17"/>
      <c r="E247" s="15" t="s">
        <v>320</v>
      </c>
      <c r="F247" s="12">
        <f t="shared" si="5"/>
        <v>242</v>
      </c>
      <c r="G247" s="16"/>
      <c r="H247" s="16"/>
      <c r="J247" s="2"/>
      <c r="N247"/>
    </row>
    <row r="248" spans="3:14" x14ac:dyDescent="0.35">
      <c r="C248" s="17"/>
      <c r="D248" s="17"/>
      <c r="E248" s="15" t="s">
        <v>321</v>
      </c>
      <c r="F248" s="12">
        <f t="shared" si="5"/>
        <v>243</v>
      </c>
      <c r="G248" s="16"/>
      <c r="H248" s="16"/>
      <c r="J248" s="2"/>
      <c r="N248"/>
    </row>
    <row r="249" spans="3:14" x14ac:dyDescent="0.35">
      <c r="C249" s="17"/>
      <c r="D249" s="17"/>
      <c r="E249" s="15" t="s">
        <v>322</v>
      </c>
      <c r="F249" s="12">
        <f t="shared" si="5"/>
        <v>244</v>
      </c>
      <c r="G249" s="16"/>
      <c r="H249" s="16"/>
      <c r="J249" s="2"/>
      <c r="N249"/>
    </row>
    <row r="250" spans="3:14" x14ac:dyDescent="0.35">
      <c r="C250" s="17" t="s">
        <v>623</v>
      </c>
      <c r="D250" s="17"/>
      <c r="E250" s="15" t="s">
        <v>323</v>
      </c>
      <c r="F250" s="12">
        <f t="shared" si="5"/>
        <v>245</v>
      </c>
      <c r="G250" s="16"/>
      <c r="H250" s="16"/>
      <c r="J250" s="2"/>
      <c r="N250"/>
    </row>
    <row r="251" spans="3:14" x14ac:dyDescent="0.35">
      <c r="C251" s="17"/>
      <c r="D251" s="17"/>
      <c r="E251" s="15" t="s">
        <v>324</v>
      </c>
      <c r="F251" s="12">
        <f t="shared" si="5"/>
        <v>246</v>
      </c>
      <c r="G251" s="16"/>
      <c r="H251" s="16"/>
      <c r="J251" s="2"/>
      <c r="N251"/>
    </row>
    <row r="252" spans="3:14" x14ac:dyDescent="0.35">
      <c r="C252" s="17" t="s">
        <v>612</v>
      </c>
      <c r="D252" s="17"/>
      <c r="E252" s="15" t="s">
        <v>325</v>
      </c>
      <c r="F252" s="12">
        <f t="shared" si="5"/>
        <v>247</v>
      </c>
      <c r="G252" s="16"/>
      <c r="H252" s="16"/>
      <c r="J252" s="2"/>
      <c r="N252"/>
    </row>
    <row r="253" spans="3:14" x14ac:dyDescent="0.35">
      <c r="C253" s="17"/>
      <c r="D253" s="17"/>
      <c r="E253" s="15" t="s">
        <v>326</v>
      </c>
      <c r="F253" s="12">
        <f t="shared" si="5"/>
        <v>248</v>
      </c>
      <c r="G253" s="16"/>
      <c r="H253" s="16"/>
      <c r="J253" s="2"/>
      <c r="N253"/>
    </row>
    <row r="254" spans="3:14" x14ac:dyDescent="0.35">
      <c r="C254" s="8" t="s">
        <v>617</v>
      </c>
      <c r="D254" s="17"/>
      <c r="E254" s="15" t="s">
        <v>327</v>
      </c>
      <c r="F254" s="12">
        <f t="shared" si="5"/>
        <v>249</v>
      </c>
      <c r="G254" s="16"/>
      <c r="H254" s="16"/>
      <c r="J254" s="2"/>
      <c r="N254"/>
    </row>
    <row r="255" spans="3:14" x14ac:dyDescent="0.35">
      <c r="C255" s="17"/>
      <c r="D255" s="17"/>
      <c r="E255" s="15" t="s">
        <v>328</v>
      </c>
      <c r="F255" s="12">
        <f t="shared" si="5"/>
        <v>250</v>
      </c>
      <c r="G255" s="16"/>
      <c r="H255" s="16"/>
      <c r="J255" s="2"/>
      <c r="N255"/>
    </row>
    <row r="256" spans="3:14" x14ac:dyDescent="0.35">
      <c r="C256" s="17"/>
      <c r="D256" s="17"/>
      <c r="E256" s="15" t="s">
        <v>329</v>
      </c>
      <c r="F256" s="12">
        <f t="shared" si="5"/>
        <v>251</v>
      </c>
      <c r="G256" s="16"/>
      <c r="H256" s="16"/>
      <c r="J256" s="2"/>
      <c r="N256"/>
    </row>
    <row r="257" spans="3:14" x14ac:dyDescent="0.35">
      <c r="C257" s="17"/>
      <c r="D257" s="17"/>
      <c r="E257" s="15" t="s">
        <v>330</v>
      </c>
      <c r="F257" s="12">
        <f t="shared" si="5"/>
        <v>252</v>
      </c>
      <c r="G257" s="16"/>
      <c r="H257" s="16"/>
      <c r="J257" s="2"/>
      <c r="N257"/>
    </row>
    <row r="258" spans="3:14" x14ac:dyDescent="0.35">
      <c r="C258" s="17"/>
      <c r="D258" s="17"/>
      <c r="E258" s="15" t="s">
        <v>331</v>
      </c>
      <c r="F258" s="12">
        <f t="shared" si="5"/>
        <v>253</v>
      </c>
      <c r="G258" s="16"/>
      <c r="H258" s="16"/>
      <c r="J258" s="2"/>
      <c r="N258"/>
    </row>
    <row r="259" spans="3:14" x14ac:dyDescent="0.35">
      <c r="C259" s="17"/>
      <c r="D259" s="17"/>
      <c r="E259" s="15" t="s">
        <v>332</v>
      </c>
      <c r="F259" s="12">
        <f t="shared" si="5"/>
        <v>254</v>
      </c>
      <c r="G259" s="16"/>
      <c r="H259" s="16"/>
      <c r="J259" s="2"/>
      <c r="N259"/>
    </row>
    <row r="260" spans="3:14" x14ac:dyDescent="0.35">
      <c r="C260" s="17"/>
      <c r="D260" s="17"/>
      <c r="E260" s="15" t="s">
        <v>333</v>
      </c>
      <c r="F260" s="12">
        <f t="shared" si="5"/>
        <v>255</v>
      </c>
      <c r="G260" s="16"/>
      <c r="H260" s="16"/>
      <c r="J260" s="2"/>
      <c r="N260"/>
    </row>
    <row r="261" spans="3:14" x14ac:dyDescent="0.35">
      <c r="E261" s="15"/>
      <c r="F261" s="12" t="str">
        <f t="shared" si="5"/>
        <v/>
      </c>
      <c r="N261"/>
    </row>
    <row r="262" spans="3:14" x14ac:dyDescent="0.35">
      <c r="E262" s="15"/>
      <c r="F262" s="12" t="str">
        <f t="shared" ref="F262:F325" si="6">IF(E262="","",VALUE(RIGHT(E262,LEN(E262)-FIND("@",SUBSTITUTE(E262,".","@",3)))))</f>
        <v/>
      </c>
      <c r="N262"/>
    </row>
    <row r="263" spans="3:14" x14ac:dyDescent="0.35">
      <c r="E263" s="15"/>
      <c r="F263" s="12" t="str">
        <f t="shared" si="6"/>
        <v/>
      </c>
      <c r="N263"/>
    </row>
    <row r="264" spans="3:14" x14ac:dyDescent="0.35">
      <c r="E264" s="15"/>
      <c r="F264" s="12" t="str">
        <f t="shared" si="6"/>
        <v/>
      </c>
      <c r="N264"/>
    </row>
    <row r="265" spans="3:14" x14ac:dyDescent="0.35">
      <c r="E265" s="15"/>
      <c r="F265" s="12" t="str">
        <f t="shared" si="6"/>
        <v/>
      </c>
      <c r="N265"/>
    </row>
    <row r="266" spans="3:14" x14ac:dyDescent="0.35">
      <c r="E266" s="15"/>
      <c r="F266" s="12" t="str">
        <f t="shared" si="6"/>
        <v/>
      </c>
      <c r="N266"/>
    </row>
    <row r="267" spans="3:14" x14ac:dyDescent="0.35">
      <c r="E267" s="15"/>
      <c r="F267" s="12" t="str">
        <f t="shared" si="6"/>
        <v/>
      </c>
    </row>
    <row r="268" spans="3:14" x14ac:dyDescent="0.35">
      <c r="E268" s="15"/>
      <c r="F268" s="12" t="str">
        <f t="shared" si="6"/>
        <v/>
      </c>
    </row>
    <row r="269" spans="3:14" x14ac:dyDescent="0.35">
      <c r="E269" s="15"/>
      <c r="F269" s="12" t="str">
        <f t="shared" si="6"/>
        <v/>
      </c>
    </row>
    <row r="270" spans="3:14" x14ac:dyDescent="0.35">
      <c r="E270" s="15"/>
      <c r="F270" s="12" t="str">
        <f t="shared" si="6"/>
        <v/>
      </c>
    </row>
    <row r="271" spans="3:14" x14ac:dyDescent="0.35">
      <c r="E271" s="15"/>
      <c r="F271" s="12" t="str">
        <f t="shared" si="6"/>
        <v/>
      </c>
    </row>
    <row r="272" spans="3:14" x14ac:dyDescent="0.35">
      <c r="C272" s="17"/>
      <c r="D272" s="17"/>
      <c r="E272" s="15"/>
      <c r="F272" s="12" t="str">
        <f t="shared" si="6"/>
        <v/>
      </c>
      <c r="H272" s="16"/>
    </row>
    <row r="273" spans="3:8" x14ac:dyDescent="0.35">
      <c r="C273" s="17"/>
      <c r="D273" s="17"/>
      <c r="E273" s="15"/>
      <c r="F273" s="12" t="str">
        <f t="shared" si="6"/>
        <v/>
      </c>
      <c r="H273" s="16"/>
    </row>
    <row r="274" spans="3:8" x14ac:dyDescent="0.35">
      <c r="C274" s="17"/>
      <c r="D274" s="17"/>
      <c r="E274" s="15"/>
      <c r="F274" s="12" t="str">
        <f t="shared" si="6"/>
        <v/>
      </c>
      <c r="H274" s="16"/>
    </row>
    <row r="275" spans="3:8" x14ac:dyDescent="0.35">
      <c r="C275" s="17"/>
      <c r="D275" s="17"/>
      <c r="E275" s="15"/>
      <c r="F275" s="12" t="str">
        <f t="shared" si="6"/>
        <v/>
      </c>
      <c r="H275" s="16"/>
    </row>
    <row r="276" spans="3:8" x14ac:dyDescent="0.35">
      <c r="C276" s="17"/>
      <c r="D276" s="17"/>
      <c r="E276" s="15"/>
      <c r="F276" s="12" t="str">
        <f t="shared" si="6"/>
        <v/>
      </c>
      <c r="H276" s="16"/>
    </row>
    <row r="277" spans="3:8" x14ac:dyDescent="0.35">
      <c r="C277" s="17"/>
      <c r="D277" s="17"/>
      <c r="E277" s="15"/>
      <c r="F277" s="12" t="str">
        <f t="shared" si="6"/>
        <v/>
      </c>
      <c r="H277" s="16"/>
    </row>
    <row r="278" spans="3:8" x14ac:dyDescent="0.35">
      <c r="C278" s="17"/>
      <c r="D278" s="17"/>
      <c r="E278" s="15"/>
      <c r="F278" s="12" t="str">
        <f t="shared" si="6"/>
        <v/>
      </c>
      <c r="H278" s="16"/>
    </row>
    <row r="279" spans="3:8" x14ac:dyDescent="0.35">
      <c r="C279" s="17"/>
      <c r="D279" s="17"/>
      <c r="E279" s="15"/>
      <c r="F279" s="12" t="str">
        <f t="shared" si="6"/>
        <v/>
      </c>
      <c r="H279" s="16"/>
    </row>
    <row r="280" spans="3:8" x14ac:dyDescent="0.35">
      <c r="C280" s="17"/>
      <c r="D280" s="17"/>
      <c r="E280" s="15"/>
      <c r="F280" s="12" t="str">
        <f t="shared" si="6"/>
        <v/>
      </c>
      <c r="H280" s="16"/>
    </row>
    <row r="281" spans="3:8" x14ac:dyDescent="0.35">
      <c r="C281" s="17"/>
      <c r="D281" s="17"/>
      <c r="E281" s="15"/>
      <c r="F281" s="12" t="str">
        <f t="shared" si="6"/>
        <v/>
      </c>
      <c r="H281" s="16"/>
    </row>
    <row r="282" spans="3:8" x14ac:dyDescent="0.35">
      <c r="C282" s="17"/>
      <c r="D282" s="17"/>
      <c r="E282" s="15"/>
      <c r="F282" s="12" t="str">
        <f t="shared" si="6"/>
        <v/>
      </c>
      <c r="H282" s="16"/>
    </row>
    <row r="283" spans="3:8" x14ac:dyDescent="0.35">
      <c r="C283" s="17"/>
      <c r="D283" s="17"/>
      <c r="E283" s="15"/>
      <c r="F283" s="12" t="str">
        <f t="shared" si="6"/>
        <v/>
      </c>
      <c r="H283" s="16"/>
    </row>
    <row r="284" spans="3:8" x14ac:dyDescent="0.35">
      <c r="C284" s="17"/>
      <c r="D284" s="17"/>
      <c r="E284" s="15"/>
      <c r="F284" s="12" t="str">
        <f t="shared" si="6"/>
        <v/>
      </c>
      <c r="H284" s="16"/>
    </row>
    <row r="285" spans="3:8" x14ac:dyDescent="0.35">
      <c r="C285" s="17"/>
      <c r="D285" s="17"/>
      <c r="E285" s="15"/>
      <c r="F285" s="12" t="str">
        <f t="shared" si="6"/>
        <v/>
      </c>
      <c r="H285" s="16"/>
    </row>
    <row r="286" spans="3:8" x14ac:dyDescent="0.35">
      <c r="C286" s="17"/>
      <c r="D286" s="17"/>
      <c r="E286" s="15"/>
      <c r="F286" s="12" t="str">
        <f t="shared" si="6"/>
        <v/>
      </c>
      <c r="H286" s="16"/>
    </row>
    <row r="287" spans="3:8" x14ac:dyDescent="0.35">
      <c r="C287" s="17"/>
      <c r="D287" s="17"/>
      <c r="E287" s="15"/>
      <c r="F287" s="12" t="str">
        <f t="shared" si="6"/>
        <v/>
      </c>
      <c r="H287" s="16"/>
    </row>
    <row r="288" spans="3:8" x14ac:dyDescent="0.35">
      <c r="C288" s="17"/>
      <c r="D288" s="17"/>
      <c r="E288" s="15"/>
      <c r="F288" s="12" t="str">
        <f t="shared" si="6"/>
        <v/>
      </c>
      <c r="H288" s="16"/>
    </row>
    <row r="289" spans="3:10" x14ac:dyDescent="0.35">
      <c r="C289" s="17"/>
      <c r="D289" s="17"/>
      <c r="E289" s="15"/>
      <c r="F289" s="12" t="str">
        <f t="shared" si="6"/>
        <v/>
      </c>
      <c r="H289" s="16"/>
    </row>
    <row r="290" spans="3:10" x14ac:dyDescent="0.35">
      <c r="C290" s="17"/>
      <c r="D290" s="17"/>
      <c r="E290" s="15"/>
      <c r="F290" s="12" t="str">
        <f t="shared" si="6"/>
        <v/>
      </c>
      <c r="H290" s="16"/>
    </row>
    <row r="291" spans="3:10" x14ac:dyDescent="0.35">
      <c r="C291" s="17"/>
      <c r="D291" s="17"/>
      <c r="E291" s="15"/>
      <c r="F291" s="12" t="str">
        <f t="shared" si="6"/>
        <v/>
      </c>
      <c r="H291" s="16"/>
    </row>
    <row r="292" spans="3:10" x14ac:dyDescent="0.35">
      <c r="C292" s="17"/>
      <c r="D292" s="17"/>
      <c r="E292" s="15"/>
      <c r="F292" s="12" t="str">
        <f t="shared" si="6"/>
        <v/>
      </c>
      <c r="H292" s="16"/>
    </row>
    <row r="293" spans="3:10" x14ac:dyDescent="0.35">
      <c r="C293" s="17"/>
      <c r="D293" s="17"/>
      <c r="E293" s="15"/>
      <c r="F293" s="12" t="str">
        <f t="shared" si="6"/>
        <v/>
      </c>
      <c r="H293" s="16"/>
    </row>
    <row r="294" spans="3:10" x14ac:dyDescent="0.35">
      <c r="C294" s="17"/>
      <c r="D294" s="17"/>
      <c r="E294" s="15"/>
      <c r="F294" s="12" t="str">
        <f t="shared" si="6"/>
        <v/>
      </c>
      <c r="H294" s="16"/>
    </row>
    <row r="295" spans="3:10" x14ac:dyDescent="0.35">
      <c r="C295" s="17"/>
      <c r="D295" s="17"/>
      <c r="E295" s="15"/>
      <c r="F295" s="12" t="str">
        <f t="shared" si="6"/>
        <v/>
      </c>
      <c r="H295" s="16"/>
    </row>
    <row r="296" spans="3:10" x14ac:dyDescent="0.35">
      <c r="C296" s="17"/>
      <c r="D296" s="17"/>
      <c r="E296" s="15"/>
      <c r="F296" s="12" t="str">
        <f t="shared" si="6"/>
        <v/>
      </c>
      <c r="H296" s="16"/>
    </row>
    <row r="297" spans="3:10" x14ac:dyDescent="0.35">
      <c r="C297" s="17"/>
      <c r="D297" s="17"/>
      <c r="E297" s="15"/>
      <c r="F297" s="12" t="str">
        <f t="shared" si="6"/>
        <v/>
      </c>
      <c r="H297" s="16"/>
    </row>
    <row r="298" spans="3:10" x14ac:dyDescent="0.35">
      <c r="C298" s="17"/>
      <c r="D298" s="17"/>
      <c r="E298" s="16"/>
      <c r="F298" s="14" t="str">
        <f t="shared" si="6"/>
        <v/>
      </c>
      <c r="G298" s="16"/>
      <c r="H298" s="16"/>
      <c r="J298" s="2"/>
    </row>
    <row r="299" spans="3:10" x14ac:dyDescent="0.35">
      <c r="C299" s="17"/>
      <c r="D299" s="17"/>
      <c r="E299" s="16"/>
      <c r="F299" s="14" t="str">
        <f t="shared" si="6"/>
        <v/>
      </c>
      <c r="G299" s="16"/>
      <c r="H299" s="16"/>
      <c r="J299" s="2"/>
    </row>
    <row r="300" spans="3:10" x14ac:dyDescent="0.35">
      <c r="C300" s="17"/>
      <c r="D300" s="17"/>
      <c r="E300" s="16"/>
      <c r="F300" s="14" t="str">
        <f t="shared" si="6"/>
        <v/>
      </c>
      <c r="G300" s="16"/>
      <c r="H300" s="16"/>
      <c r="J300" s="2"/>
    </row>
    <row r="301" spans="3:10" x14ac:dyDescent="0.35">
      <c r="C301" s="17"/>
      <c r="D301" s="17"/>
      <c r="E301" s="16"/>
      <c r="F301" s="14" t="str">
        <f t="shared" si="6"/>
        <v/>
      </c>
      <c r="G301" s="16"/>
      <c r="H301" s="16"/>
      <c r="J301" s="2"/>
    </row>
    <row r="302" spans="3:10" x14ac:dyDescent="0.35">
      <c r="C302" s="17"/>
      <c r="D302" s="17"/>
      <c r="E302" s="16"/>
      <c r="F302" s="14" t="str">
        <f t="shared" si="6"/>
        <v/>
      </c>
      <c r="G302" s="16"/>
      <c r="H302" s="16"/>
      <c r="J302" s="2"/>
    </row>
    <row r="303" spans="3:10" x14ac:dyDescent="0.35">
      <c r="C303" s="17"/>
      <c r="D303" s="17"/>
      <c r="E303" s="16"/>
      <c r="F303" s="14" t="str">
        <f t="shared" si="6"/>
        <v/>
      </c>
      <c r="G303" s="16"/>
      <c r="H303" s="16"/>
      <c r="J303" s="2"/>
    </row>
    <row r="304" spans="3:10" x14ac:dyDescent="0.35">
      <c r="C304" s="17"/>
      <c r="D304" s="17"/>
      <c r="E304" s="16"/>
      <c r="F304" s="14" t="str">
        <f t="shared" si="6"/>
        <v/>
      </c>
      <c r="G304" s="16"/>
      <c r="H304" s="16"/>
      <c r="J304" s="2"/>
    </row>
    <row r="305" spans="3:10" x14ac:dyDescent="0.35">
      <c r="C305" s="17"/>
      <c r="D305" s="17"/>
      <c r="E305" s="16"/>
      <c r="F305" s="14" t="str">
        <f t="shared" si="6"/>
        <v/>
      </c>
      <c r="G305" s="16"/>
      <c r="H305" s="16"/>
      <c r="J305" s="2"/>
    </row>
    <row r="306" spans="3:10" x14ac:dyDescent="0.35">
      <c r="C306" s="17"/>
      <c r="D306" s="17"/>
      <c r="E306" s="16"/>
      <c r="F306" s="14" t="str">
        <f t="shared" si="6"/>
        <v/>
      </c>
      <c r="G306" s="16"/>
      <c r="H306" s="16"/>
      <c r="J306" s="2"/>
    </row>
    <row r="307" spans="3:10" x14ac:dyDescent="0.35">
      <c r="C307" s="17"/>
      <c r="D307" s="17"/>
      <c r="E307" s="16"/>
      <c r="F307" s="14" t="str">
        <f t="shared" si="6"/>
        <v/>
      </c>
      <c r="G307" s="16"/>
      <c r="H307" s="16"/>
      <c r="J307" s="2"/>
    </row>
    <row r="308" spans="3:10" x14ac:dyDescent="0.35">
      <c r="C308" s="17"/>
      <c r="D308" s="17"/>
      <c r="E308" s="16"/>
      <c r="F308" s="14" t="str">
        <f t="shared" si="6"/>
        <v/>
      </c>
      <c r="G308" s="16"/>
      <c r="H308" s="16"/>
      <c r="J308" s="2"/>
    </row>
    <row r="309" spans="3:10" x14ac:dyDescent="0.35">
      <c r="C309" s="17"/>
      <c r="D309" s="17"/>
      <c r="E309" s="16"/>
      <c r="F309" s="14" t="str">
        <f t="shared" si="6"/>
        <v/>
      </c>
      <c r="G309" s="16"/>
      <c r="H309" s="16"/>
      <c r="J309" s="2"/>
    </row>
    <row r="310" spans="3:10" x14ac:dyDescent="0.35">
      <c r="C310" s="17"/>
      <c r="D310" s="17"/>
      <c r="E310" s="16"/>
      <c r="F310" s="14" t="str">
        <f t="shared" si="6"/>
        <v/>
      </c>
      <c r="G310" s="16"/>
      <c r="H310" s="16"/>
      <c r="J310" s="2"/>
    </row>
    <row r="311" spans="3:10" x14ac:dyDescent="0.35">
      <c r="C311" s="17"/>
      <c r="D311" s="17"/>
      <c r="E311" s="16"/>
      <c r="F311" s="14" t="str">
        <f t="shared" si="6"/>
        <v/>
      </c>
      <c r="G311" s="16"/>
      <c r="H311" s="16"/>
      <c r="J311" s="2"/>
    </row>
    <row r="312" spans="3:10" x14ac:dyDescent="0.35">
      <c r="C312" s="17"/>
      <c r="D312" s="17"/>
      <c r="E312" s="16"/>
      <c r="F312" s="14" t="str">
        <f t="shared" si="6"/>
        <v/>
      </c>
      <c r="G312" s="16"/>
      <c r="H312" s="16"/>
      <c r="J312" s="2"/>
    </row>
    <row r="313" spans="3:10" x14ac:dyDescent="0.35">
      <c r="C313" s="17"/>
      <c r="D313" s="17"/>
      <c r="E313" s="16"/>
      <c r="F313" s="14" t="str">
        <f t="shared" si="6"/>
        <v/>
      </c>
      <c r="G313" s="16"/>
      <c r="H313" s="16"/>
      <c r="J313" s="2"/>
    </row>
    <row r="314" spans="3:10" x14ac:dyDescent="0.35">
      <c r="C314" s="17"/>
      <c r="D314" s="17"/>
      <c r="E314" s="16"/>
      <c r="F314" s="14" t="str">
        <f t="shared" si="6"/>
        <v/>
      </c>
      <c r="G314" s="16"/>
      <c r="H314" s="16"/>
      <c r="J314" s="2"/>
    </row>
    <row r="315" spans="3:10" x14ac:dyDescent="0.35">
      <c r="C315" s="17"/>
      <c r="D315" s="17"/>
      <c r="E315" s="16"/>
      <c r="F315" s="14" t="str">
        <f t="shared" si="6"/>
        <v/>
      </c>
      <c r="G315" s="16"/>
      <c r="H315" s="16"/>
      <c r="J315" s="2"/>
    </row>
    <row r="316" spans="3:10" x14ac:dyDescent="0.35">
      <c r="C316" s="17"/>
      <c r="D316" s="17"/>
      <c r="E316" s="16"/>
      <c r="F316" s="14" t="str">
        <f t="shared" si="6"/>
        <v/>
      </c>
      <c r="G316" s="16"/>
      <c r="H316" s="16"/>
      <c r="J316" s="2"/>
    </row>
    <row r="317" spans="3:10" x14ac:dyDescent="0.35">
      <c r="C317" s="17"/>
      <c r="D317" s="17"/>
      <c r="E317" s="16"/>
      <c r="F317" s="14" t="str">
        <f t="shared" si="6"/>
        <v/>
      </c>
      <c r="G317" s="16"/>
      <c r="H317" s="16"/>
      <c r="J317" s="2"/>
    </row>
    <row r="318" spans="3:10" x14ac:dyDescent="0.35">
      <c r="C318" s="17"/>
      <c r="D318" s="17"/>
      <c r="E318" s="16"/>
      <c r="F318" s="14" t="str">
        <f t="shared" si="6"/>
        <v/>
      </c>
      <c r="G318" s="16"/>
      <c r="H318" s="16"/>
      <c r="J318" s="2"/>
    </row>
    <row r="319" spans="3:10" x14ac:dyDescent="0.35">
      <c r="C319" s="17"/>
      <c r="D319" s="17"/>
      <c r="E319" s="16"/>
      <c r="F319" s="14" t="str">
        <f t="shared" si="6"/>
        <v/>
      </c>
      <c r="G319" s="16"/>
      <c r="H319" s="16"/>
      <c r="J319" s="2"/>
    </row>
    <row r="320" spans="3:10" x14ac:dyDescent="0.35">
      <c r="C320" s="17"/>
      <c r="D320" s="17"/>
      <c r="E320" s="16"/>
      <c r="F320" s="14" t="str">
        <f t="shared" si="6"/>
        <v/>
      </c>
      <c r="G320" s="16"/>
      <c r="H320" s="16"/>
      <c r="J320" s="2"/>
    </row>
    <row r="321" spans="3:10" x14ac:dyDescent="0.35">
      <c r="C321" s="17"/>
      <c r="D321" s="17"/>
      <c r="E321" s="16"/>
      <c r="F321" s="14" t="str">
        <f t="shared" si="6"/>
        <v/>
      </c>
      <c r="G321" s="16"/>
      <c r="H321" s="16"/>
      <c r="J321" s="2"/>
    </row>
    <row r="322" spans="3:10" x14ac:dyDescent="0.35">
      <c r="C322" s="17"/>
      <c r="D322" s="17"/>
      <c r="E322" s="16"/>
      <c r="F322" s="14" t="str">
        <f t="shared" si="6"/>
        <v/>
      </c>
      <c r="G322" s="16"/>
      <c r="H322" s="16"/>
      <c r="J322" s="2"/>
    </row>
    <row r="323" spans="3:10" x14ac:dyDescent="0.35">
      <c r="C323" s="17"/>
      <c r="D323" s="17"/>
      <c r="E323" s="16"/>
      <c r="F323" s="14" t="str">
        <f t="shared" si="6"/>
        <v/>
      </c>
      <c r="G323" s="16"/>
      <c r="H323" s="16"/>
      <c r="J323" s="2"/>
    </row>
    <row r="324" spans="3:10" x14ac:dyDescent="0.35">
      <c r="C324" s="17"/>
      <c r="D324" s="17"/>
      <c r="E324" s="16"/>
      <c r="F324" s="14" t="str">
        <f t="shared" si="6"/>
        <v/>
      </c>
      <c r="G324" s="16"/>
      <c r="H324" s="16"/>
      <c r="J324" s="2"/>
    </row>
    <row r="325" spans="3:10" x14ac:dyDescent="0.35">
      <c r="C325" s="17"/>
      <c r="D325" s="17"/>
      <c r="E325" s="16"/>
      <c r="F325" s="14" t="str">
        <f t="shared" si="6"/>
        <v/>
      </c>
      <c r="G325" s="16"/>
      <c r="H325" s="16"/>
      <c r="J325" s="2"/>
    </row>
    <row r="326" spans="3:10" x14ac:dyDescent="0.35">
      <c r="C326" s="17"/>
      <c r="D326" s="17"/>
      <c r="E326" s="16"/>
      <c r="F326" s="14" t="str">
        <f t="shared" ref="F326:F363" si="7">IF(E326="","",VALUE(RIGHT(E326,LEN(E326)-FIND("@",SUBSTITUTE(E326,".","@",3)))))</f>
        <v/>
      </c>
      <c r="G326" s="16"/>
      <c r="H326" s="16"/>
      <c r="J326" s="2"/>
    </row>
    <row r="327" spans="3:10" x14ac:dyDescent="0.35">
      <c r="C327" s="17"/>
      <c r="D327" s="17"/>
      <c r="E327" s="16"/>
      <c r="F327" s="14" t="str">
        <f t="shared" si="7"/>
        <v/>
      </c>
      <c r="G327" s="16"/>
      <c r="H327" s="16"/>
      <c r="J327" s="2"/>
    </row>
    <row r="328" spans="3:10" x14ac:dyDescent="0.35">
      <c r="C328" s="17"/>
      <c r="D328" s="17"/>
      <c r="E328" s="16"/>
      <c r="F328" s="14" t="str">
        <f t="shared" si="7"/>
        <v/>
      </c>
      <c r="G328" s="16"/>
      <c r="H328" s="16"/>
      <c r="J328" s="2"/>
    </row>
    <row r="329" spans="3:10" x14ac:dyDescent="0.35">
      <c r="C329" s="17"/>
      <c r="D329" s="17"/>
      <c r="E329" s="16"/>
      <c r="F329" s="14" t="str">
        <f t="shared" si="7"/>
        <v/>
      </c>
      <c r="G329" s="16"/>
      <c r="H329" s="16"/>
      <c r="J329" s="2"/>
    </row>
    <row r="330" spans="3:10" x14ac:dyDescent="0.35">
      <c r="C330" s="17"/>
      <c r="D330" s="17"/>
      <c r="E330" s="16"/>
      <c r="F330" s="14" t="str">
        <f t="shared" si="7"/>
        <v/>
      </c>
      <c r="G330" s="16"/>
      <c r="H330" s="16"/>
      <c r="J330" s="2"/>
    </row>
    <row r="331" spans="3:10" x14ac:dyDescent="0.35">
      <c r="C331" s="17"/>
      <c r="D331" s="17"/>
      <c r="E331" s="16"/>
      <c r="F331" s="14" t="str">
        <f t="shared" si="7"/>
        <v/>
      </c>
      <c r="G331" s="16"/>
      <c r="H331" s="16"/>
      <c r="I331" s="2"/>
      <c r="J331" s="2"/>
    </row>
    <row r="332" spans="3:10" x14ac:dyDescent="0.35">
      <c r="C332" s="17"/>
      <c r="D332" s="17"/>
      <c r="E332" s="16"/>
      <c r="F332" s="14" t="str">
        <f t="shared" si="7"/>
        <v/>
      </c>
      <c r="G332" s="16"/>
      <c r="H332" s="16"/>
      <c r="I332" s="2"/>
      <c r="J332" s="2"/>
    </row>
    <row r="333" spans="3:10" x14ac:dyDescent="0.35">
      <c r="C333" s="17"/>
      <c r="D333" s="17"/>
      <c r="E333" s="16"/>
      <c r="F333" s="14" t="str">
        <f t="shared" si="7"/>
        <v/>
      </c>
      <c r="G333" s="16"/>
      <c r="H333" s="16"/>
      <c r="I333" s="2"/>
      <c r="J333" s="2"/>
    </row>
    <row r="334" spans="3:10" x14ac:dyDescent="0.35">
      <c r="C334" s="17"/>
      <c r="D334" s="17"/>
      <c r="E334" s="16"/>
      <c r="F334" s="14" t="str">
        <f t="shared" si="7"/>
        <v/>
      </c>
      <c r="G334" s="16"/>
      <c r="H334" s="16"/>
      <c r="I334" s="2"/>
      <c r="J334" s="2"/>
    </row>
    <row r="335" spans="3:10" x14ac:dyDescent="0.35">
      <c r="C335" s="17"/>
      <c r="D335" s="17"/>
      <c r="E335" s="16"/>
      <c r="F335" s="14" t="str">
        <f t="shared" si="7"/>
        <v/>
      </c>
      <c r="G335" s="16"/>
      <c r="H335" s="16"/>
      <c r="I335" s="2"/>
      <c r="J335" s="2"/>
    </row>
    <row r="336" spans="3:10" x14ac:dyDescent="0.35">
      <c r="C336" s="17"/>
      <c r="D336" s="17"/>
      <c r="E336" s="16"/>
      <c r="F336" s="14" t="str">
        <f t="shared" si="7"/>
        <v/>
      </c>
      <c r="G336" s="16"/>
      <c r="H336" s="16"/>
      <c r="I336" s="2"/>
      <c r="J336" s="2"/>
    </row>
    <row r="337" spans="3:10" x14ac:dyDescent="0.35">
      <c r="C337" s="17"/>
      <c r="D337" s="17"/>
      <c r="E337" s="16"/>
      <c r="F337" s="14" t="str">
        <f t="shared" si="7"/>
        <v/>
      </c>
      <c r="G337" s="16"/>
      <c r="H337" s="16"/>
      <c r="I337" s="2"/>
      <c r="J337" s="2"/>
    </row>
    <row r="338" spans="3:10" x14ac:dyDescent="0.35">
      <c r="C338" s="17"/>
      <c r="D338" s="17"/>
      <c r="E338" s="16"/>
      <c r="F338" s="14" t="str">
        <f t="shared" si="7"/>
        <v/>
      </c>
      <c r="G338" s="16"/>
      <c r="H338" s="16"/>
      <c r="I338" s="2"/>
      <c r="J338" s="2"/>
    </row>
    <row r="339" spans="3:10" x14ac:dyDescent="0.35">
      <c r="C339" s="17"/>
      <c r="D339" s="17"/>
      <c r="E339" s="16"/>
      <c r="F339" s="14" t="str">
        <f t="shared" si="7"/>
        <v/>
      </c>
      <c r="G339" s="16"/>
      <c r="H339" s="16"/>
      <c r="I339" s="2"/>
      <c r="J339" s="2"/>
    </row>
    <row r="340" spans="3:10" x14ac:dyDescent="0.35">
      <c r="C340" s="17"/>
      <c r="D340" s="17"/>
      <c r="E340" s="16"/>
      <c r="F340" s="14" t="str">
        <f t="shared" si="7"/>
        <v/>
      </c>
      <c r="G340" s="16"/>
      <c r="H340" s="16"/>
      <c r="I340" s="2"/>
      <c r="J340" s="2"/>
    </row>
    <row r="341" spans="3:10" x14ac:dyDescent="0.35">
      <c r="C341" s="17"/>
      <c r="D341" s="17"/>
      <c r="E341" s="16"/>
      <c r="F341" s="14" t="str">
        <f t="shared" si="7"/>
        <v/>
      </c>
      <c r="G341" s="16"/>
      <c r="H341" s="16"/>
      <c r="I341" s="2"/>
      <c r="J341" s="2"/>
    </row>
    <row r="342" spans="3:10" x14ac:dyDescent="0.35">
      <c r="C342" s="17"/>
      <c r="D342" s="17"/>
      <c r="E342" s="16"/>
      <c r="F342" s="14" t="str">
        <f t="shared" si="7"/>
        <v/>
      </c>
      <c r="G342" s="16"/>
      <c r="H342" s="16"/>
      <c r="I342" s="2"/>
      <c r="J342" s="2"/>
    </row>
    <row r="343" spans="3:10" x14ac:dyDescent="0.35">
      <c r="C343" s="17"/>
      <c r="D343" s="17"/>
      <c r="E343" s="16"/>
      <c r="F343" s="14" t="str">
        <f t="shared" si="7"/>
        <v/>
      </c>
      <c r="G343" s="16"/>
      <c r="H343" s="16"/>
      <c r="I343" s="2"/>
      <c r="J343" s="2"/>
    </row>
    <row r="344" spans="3:10" x14ac:dyDescent="0.35">
      <c r="C344" s="17"/>
      <c r="D344" s="17"/>
      <c r="E344" s="16"/>
      <c r="F344" s="14" t="str">
        <f t="shared" si="7"/>
        <v/>
      </c>
      <c r="G344" s="16"/>
      <c r="H344" s="16"/>
      <c r="I344" s="2"/>
      <c r="J344" s="2"/>
    </row>
    <row r="345" spans="3:10" x14ac:dyDescent="0.35">
      <c r="C345" s="17"/>
      <c r="D345" s="17"/>
      <c r="E345" s="16"/>
      <c r="F345" s="14" t="str">
        <f t="shared" si="7"/>
        <v/>
      </c>
      <c r="G345" s="16"/>
      <c r="H345" s="16"/>
      <c r="I345" s="2"/>
      <c r="J345" s="2"/>
    </row>
    <row r="346" spans="3:10" x14ac:dyDescent="0.35">
      <c r="C346" s="17"/>
      <c r="D346" s="17"/>
      <c r="E346" s="16"/>
      <c r="F346" s="14" t="str">
        <f t="shared" si="7"/>
        <v/>
      </c>
      <c r="G346" s="16"/>
      <c r="H346" s="16"/>
      <c r="I346" s="2"/>
      <c r="J346" s="2"/>
    </row>
    <row r="347" spans="3:10" x14ac:dyDescent="0.35">
      <c r="C347" s="17"/>
      <c r="D347" s="17"/>
      <c r="E347" s="16"/>
      <c r="F347" s="14" t="str">
        <f t="shared" si="7"/>
        <v/>
      </c>
      <c r="G347" s="16"/>
      <c r="H347" s="16"/>
      <c r="I347" s="2"/>
      <c r="J347" s="2"/>
    </row>
    <row r="348" spans="3:10" x14ac:dyDescent="0.35">
      <c r="C348" s="17"/>
      <c r="D348" s="17"/>
      <c r="E348" s="16"/>
      <c r="F348" s="14" t="str">
        <f t="shared" si="7"/>
        <v/>
      </c>
      <c r="G348" s="16"/>
      <c r="H348" s="16"/>
      <c r="I348" s="2"/>
      <c r="J348" s="2"/>
    </row>
    <row r="349" spans="3:10" x14ac:dyDescent="0.35">
      <c r="C349" s="17"/>
      <c r="D349" s="17"/>
      <c r="E349" s="16"/>
      <c r="F349" s="14" t="str">
        <f t="shared" si="7"/>
        <v/>
      </c>
      <c r="G349" s="16"/>
      <c r="H349" s="16"/>
      <c r="I349" s="2"/>
      <c r="J349" s="2"/>
    </row>
    <row r="350" spans="3:10" x14ac:dyDescent="0.35">
      <c r="C350" s="17"/>
      <c r="D350" s="17"/>
      <c r="E350" s="16"/>
      <c r="F350" s="14" t="str">
        <f t="shared" si="7"/>
        <v/>
      </c>
      <c r="G350" s="16"/>
      <c r="H350" s="16"/>
      <c r="I350" s="2"/>
      <c r="J350" s="2"/>
    </row>
    <row r="351" spans="3:10" x14ac:dyDescent="0.35">
      <c r="C351" s="17"/>
      <c r="D351" s="17"/>
      <c r="E351" s="16"/>
      <c r="F351" s="14" t="str">
        <f t="shared" si="7"/>
        <v/>
      </c>
      <c r="G351" s="16"/>
      <c r="H351" s="16"/>
      <c r="I351" s="2"/>
      <c r="J351" s="2"/>
    </row>
    <row r="352" spans="3:10" x14ac:dyDescent="0.35">
      <c r="C352" s="17"/>
      <c r="D352" s="17"/>
      <c r="E352" s="16"/>
      <c r="F352" s="14" t="str">
        <f t="shared" si="7"/>
        <v/>
      </c>
      <c r="G352" s="16"/>
      <c r="H352" s="16"/>
      <c r="I352" s="2"/>
      <c r="J352" s="2"/>
    </row>
    <row r="353" spans="3:10" x14ac:dyDescent="0.35">
      <c r="C353" s="17"/>
      <c r="D353" s="17"/>
      <c r="E353" s="16"/>
      <c r="F353" s="14" t="str">
        <f t="shared" si="7"/>
        <v/>
      </c>
      <c r="G353" s="16"/>
      <c r="H353" s="16"/>
      <c r="I353" s="2"/>
      <c r="J353" s="2"/>
    </row>
    <row r="354" spans="3:10" x14ac:dyDescent="0.35">
      <c r="C354" s="17"/>
      <c r="D354" s="17"/>
      <c r="E354" s="16"/>
      <c r="F354" s="14" t="str">
        <f t="shared" si="7"/>
        <v/>
      </c>
      <c r="G354" s="16"/>
      <c r="H354" s="16"/>
      <c r="I354" s="2"/>
      <c r="J354" s="2"/>
    </row>
    <row r="355" spans="3:10" x14ac:dyDescent="0.35">
      <c r="C355" s="17"/>
      <c r="D355" s="17"/>
      <c r="E355" s="16"/>
      <c r="F355" s="14" t="str">
        <f t="shared" si="7"/>
        <v/>
      </c>
      <c r="G355" s="16"/>
      <c r="H355" s="16"/>
      <c r="I355" s="2"/>
      <c r="J355" s="2"/>
    </row>
    <row r="356" spans="3:10" x14ac:dyDescent="0.35">
      <c r="C356" s="17"/>
      <c r="D356" s="17"/>
      <c r="E356" s="16"/>
      <c r="F356" s="14" t="str">
        <f t="shared" si="7"/>
        <v/>
      </c>
      <c r="G356" s="16"/>
      <c r="H356" s="16"/>
      <c r="I356" s="2"/>
      <c r="J356" s="2"/>
    </row>
    <row r="357" spans="3:10" x14ac:dyDescent="0.35">
      <c r="C357" s="17"/>
      <c r="D357" s="17"/>
      <c r="E357" s="16"/>
      <c r="F357" s="14" t="str">
        <f t="shared" si="7"/>
        <v/>
      </c>
      <c r="G357" s="16"/>
      <c r="H357" s="16"/>
      <c r="I357" s="2"/>
      <c r="J357" s="2"/>
    </row>
    <row r="358" spans="3:10" x14ac:dyDescent="0.35">
      <c r="C358" s="17"/>
      <c r="D358" s="17"/>
      <c r="E358" s="16"/>
      <c r="F358" s="14" t="str">
        <f t="shared" si="7"/>
        <v/>
      </c>
      <c r="G358" s="16"/>
      <c r="H358" s="16"/>
      <c r="I358" s="2"/>
      <c r="J358" s="2"/>
    </row>
    <row r="359" spans="3:10" x14ac:dyDescent="0.35">
      <c r="C359" s="17"/>
      <c r="D359" s="17"/>
      <c r="E359" s="16"/>
      <c r="F359" s="14" t="str">
        <f t="shared" si="7"/>
        <v/>
      </c>
      <c r="G359" s="16"/>
      <c r="H359" s="16"/>
      <c r="I359" s="2"/>
      <c r="J359" s="2"/>
    </row>
    <row r="360" spans="3:10" x14ac:dyDescent="0.35">
      <c r="C360" s="17"/>
      <c r="D360" s="17"/>
      <c r="E360" s="16"/>
      <c r="F360" s="14" t="str">
        <f t="shared" si="7"/>
        <v/>
      </c>
      <c r="G360" s="16"/>
      <c r="H360" s="16"/>
      <c r="I360" s="2"/>
      <c r="J360" s="2"/>
    </row>
    <row r="361" spans="3:10" x14ac:dyDescent="0.35">
      <c r="C361" s="17"/>
      <c r="D361" s="17"/>
      <c r="E361" s="16"/>
      <c r="F361" s="14" t="str">
        <f t="shared" si="7"/>
        <v/>
      </c>
      <c r="G361" s="16"/>
      <c r="H361" s="16"/>
      <c r="I361" s="2"/>
      <c r="J361" s="2"/>
    </row>
    <row r="362" spans="3:10" x14ac:dyDescent="0.35">
      <c r="C362" s="17"/>
      <c r="D362" s="17"/>
      <c r="E362" s="16"/>
      <c r="F362" s="14" t="str">
        <f t="shared" si="7"/>
        <v/>
      </c>
      <c r="G362" s="16"/>
      <c r="H362" s="16"/>
      <c r="I362" s="2"/>
      <c r="J362" s="2"/>
    </row>
    <row r="363" spans="3:10" x14ac:dyDescent="0.35">
      <c r="C363" s="17"/>
      <c r="D363" s="17"/>
      <c r="E363" s="16"/>
      <c r="F363" s="14" t="str">
        <f t="shared" si="7"/>
        <v/>
      </c>
      <c r="G363" s="16"/>
      <c r="H363" s="16"/>
      <c r="I363" s="2"/>
      <c r="J363" s="2"/>
    </row>
    <row r="364" spans="3:10" x14ac:dyDescent="0.35">
      <c r="F364" s="11"/>
    </row>
    <row r="365" spans="3:10" x14ac:dyDescent="0.35">
      <c r="F365" s="11"/>
    </row>
    <row r="366" spans="3:10" x14ac:dyDescent="0.35">
      <c r="F366" s="11"/>
    </row>
    <row r="367" spans="3:10" x14ac:dyDescent="0.35">
      <c r="F367" s="11"/>
    </row>
    <row r="368" spans="3:10" x14ac:dyDescent="0.35">
      <c r="F368" s="11"/>
    </row>
    <row r="369" spans="3:8" x14ac:dyDescent="0.35">
      <c r="F369" s="11"/>
    </row>
    <row r="370" spans="3:8" x14ac:dyDescent="0.35">
      <c r="C370" s="17"/>
      <c r="D370" s="17"/>
      <c r="E370" s="15"/>
      <c r="F370" s="12"/>
      <c r="H370" s="16"/>
    </row>
    <row r="371" spans="3:8" x14ac:dyDescent="0.35">
      <c r="C371" s="17"/>
      <c r="D371" s="17"/>
      <c r="E371" s="15"/>
      <c r="F371" s="12"/>
      <c r="H371" s="16"/>
    </row>
  </sheetData>
  <mergeCells count="5">
    <mergeCell ref="C1:G1"/>
    <mergeCell ref="C2:H2"/>
    <mergeCell ref="C4:J4"/>
    <mergeCell ref="H1:J1"/>
    <mergeCell ref="C3:J3"/>
  </mergeCells>
  <phoneticPr fontId="1" type="noConversion"/>
  <conditionalFormatting sqref="C5:C1048576">
    <cfRule type="duplicateValues" dxfId="3" priority="3"/>
  </conditionalFormatting>
  <conditionalFormatting sqref="E6:E260">
    <cfRule type="duplicateValues" dxfId="2" priority="117"/>
  </conditionalFormatting>
  <conditionalFormatting sqref="F5">
    <cfRule type="expression" dxfId="1" priority="73">
      <formula>AND(COUNTIF($F$6:F6,F6)&gt;1,F6&gt;0)</formula>
    </cfRule>
  </conditionalFormatting>
  <conditionalFormatting sqref="F372:F1048576">
    <cfRule type="expression" dxfId="0" priority="4">
      <formula>AND(COUNTIF($C$2:F373,F373)&gt;1,F373&gt;0)</formula>
    </cfRule>
  </conditionalFormatting>
  <pageMargins left="0.51181102362204722" right="0.51181102362204722" top="0.78740157480314965" bottom="0.78740157480314965" header="0.31496062992125984" footer="0.31496062992125984"/>
  <pageSetup paperSize="9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TÍTULO</vt:lpstr>
      <vt:lpstr>DEVICES</vt:lpstr>
      <vt:lpstr>DEVICES!Area_de_impressao</vt:lpstr>
      <vt:lpstr>TÍTULO!Area_de_impressao</vt:lpstr>
      <vt:lpstr>DEVICES!Titulos_de_impressao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2025-10-21T14:33:36Z</cp:lastPrinted>
  <dcterms:created xsi:type="dcterms:W3CDTF">2019-08-05T16:00:58Z</dcterms:created>
  <dcterms:modified xsi:type="dcterms:W3CDTF">2026-04-12T18:09:01Z</dcterms:modified>
</cp:coreProperties>
</file>